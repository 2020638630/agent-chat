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问题记录" sheetId="1" state="visible" r:id="rId1"/>
    <sheet xmlns:r="http://schemas.openxmlformats.org/officeDocument/2006/relationships" name="使用说明" sheetId="2" state="visible" r:id="rId2"/>
    <sheet xmlns:r="http://schemas.openxmlformats.org/officeDocument/2006/relationships" name="统计" sheetId="3" state="visible" r:id="rId3"/>
  </sheets>
  <definedNames>
    <definedName name="_xlnm._FilterDatabase" localSheetId="0" hidden="1">'问题记录'!$A$1:$K$40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yyyy\-mm\-dd"/>
    <numFmt numFmtId="165" formatCode="yyyy-mm-dd h:mm:ss"/>
    <numFmt numFmtId="166" formatCode="yyyy-mm-dd"/>
  </numFmts>
  <fonts count="2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Microsoft YaHei"/>
      <charset val="1"/>
      <family val="0"/>
      <b val="1"/>
      <color rgb="FFFFFFFF"/>
      <sz val="11"/>
    </font>
    <font>
      <name val="Noto Sans CJK SC"/>
      <charset val="1"/>
      <family val="2"/>
      <b val="1"/>
      <color rgb="FFFFFFFF"/>
      <sz val="11"/>
    </font>
    <font>
      <name val="Microsoft YaHei"/>
      <charset val="1"/>
      <family val="0"/>
      <color rgb="FF333333"/>
      <sz val="10"/>
    </font>
    <font>
      <name val="Noto Sans CJK SC"/>
      <charset val="1"/>
      <family val="2"/>
      <color rgb="FF333333"/>
      <sz val="10"/>
    </font>
    <font>
      <name val="Noto Sans CJK SC"/>
      <family val="2"/>
      <color rgb="FF333333"/>
      <sz val="10"/>
    </font>
    <font>
      <name val="Noto Sans CJK SC"/>
      <charset val="1"/>
      <family val="2"/>
      <b val="1"/>
      <color rgb="FF006100"/>
      <sz val="10"/>
    </font>
    <font>
      <name val="Noto Sans CJK SC"/>
      <charset val="1"/>
      <family val="2"/>
      <b val="1"/>
      <color rgb="FF595959"/>
      <sz val="10"/>
    </font>
    <font>
      <name val="Noto Sans CJK SC"/>
      <charset val="1"/>
      <family val="2"/>
      <b val="1"/>
      <color rgb="FF9C5700"/>
      <sz val="10"/>
    </font>
    <font>
      <name val="Noto Sans CJK SC"/>
      <charset val="1"/>
      <family val="2"/>
      <color rgb="FF006100"/>
      <sz val="10"/>
    </font>
    <font>
      <name val="Noto Sans CJK SC"/>
      <family val="2"/>
      <color rgb="FFC65911"/>
      <sz val="10"/>
    </font>
    <font>
      <name val="Noto Sans CJK SC"/>
      <charset val="1"/>
      <family val="2"/>
      <b val="1"/>
      <color rgb="FF1F4E3D"/>
      <sz val="18"/>
    </font>
    <font>
      <name val="Noto Sans CJK SC"/>
      <charset val="1"/>
      <family val="2"/>
      <color rgb="FF595959"/>
      <sz val="11"/>
    </font>
    <font>
      <name val="Noto Sans CJK SC"/>
      <charset val="1"/>
      <family val="2"/>
      <b val="1"/>
      <color rgb="FF1F4E3D"/>
      <sz val="10"/>
    </font>
    <font>
      <name val="Noto Sans CJK SC"/>
      <charset val="1"/>
      <family val="2"/>
      <b val="1"/>
      <sz val="10"/>
    </font>
    <font>
      <name val="Noto Sans CJK SC"/>
      <charset val="1"/>
      <family val="2"/>
      <b val="1"/>
      <color rgb="FFC65911"/>
      <sz val="10"/>
    </font>
    <font>
      <name val="Noto Sans CJK SC"/>
      <charset val="1"/>
      <family val="2"/>
      <i val="1"/>
      <color rgb="FF808080"/>
      <sz val="9"/>
    </font>
    <font>
      <name val="Noto Sans CJK SC"/>
      <charset val="1"/>
      <family val="2"/>
      <b val="1"/>
      <color rgb="FF1F4E3D"/>
      <sz val="12"/>
    </font>
    <font>
      <name val="Noto Sans CJK SC"/>
      <family val="2"/>
      <b val="1"/>
      <color rgb="FF000000"/>
      <sz val="18"/>
    </font>
    <font>
      <name val="Calibri"/>
      <family val="2"/>
      <color rgb="FF000000"/>
      <sz val="10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FF1F4E3D"/>
        <bgColor rgb="FF333333"/>
      </patternFill>
    </fill>
    <fill>
      <patternFill patternType="solid">
        <fgColor rgb="FFC6EFCE"/>
        <bgColor rgb="FFD9D9D9"/>
      </patternFill>
    </fill>
    <fill>
      <patternFill patternType="solid">
        <fgColor rgb="FFD9D9D9"/>
        <bgColor rgb="FFD0D0D0"/>
      </patternFill>
    </fill>
    <fill>
      <patternFill patternType="solid">
        <fgColor rgb="FFFFEB9C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001F4E3D"/>
      </patternFill>
    </fill>
  </fills>
  <borders count="7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 style="thin">
        <color rgb="FFD0D0D0"/>
      </top>
      <bottom/>
      <diagonal/>
    </border>
    <border>
      <left/>
      <right style="thin">
        <color rgb="FFD0D0D0"/>
      </right>
      <top style="thin">
        <color rgb="FFD0D0D0"/>
      </top>
      <bottom/>
      <diagonal/>
    </border>
    <border>
      <left/>
      <right/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9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 wrapText="1"/>
    </xf>
    <xf numFmtId="164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center" wrapText="1"/>
    </xf>
    <xf numFmtId="0" fontId="10" fillId="4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general" vertical="center" wrapText="1"/>
    </xf>
    <xf numFmtId="164" fontId="6" fillId="0" borderId="1" applyAlignment="1" pivotButton="0" quotePrefix="0" xfId="0">
      <alignment horizontal="general" vertical="center" wrapText="1"/>
    </xf>
    <xf numFmtId="0" fontId="11" fillId="6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top" wrapText="1"/>
    </xf>
    <xf numFmtId="0" fontId="12" fillId="3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4" fontId="6" fillId="0" borderId="1" applyAlignment="1" pivotButton="0" quotePrefix="0" xfId="0">
      <alignment horizontal="general" vertical="top" wrapText="1"/>
    </xf>
    <xf numFmtId="0" fontId="13" fillId="7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wrapText="1"/>
    </xf>
    <xf numFmtId="0" fontId="14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general" vertical="bottom"/>
    </xf>
    <xf numFmtId="0" fontId="11" fillId="5" borderId="0" applyAlignment="1" pivotButton="0" quotePrefix="0" xfId="0">
      <alignment horizontal="center" vertical="center" wrapText="1"/>
    </xf>
    <xf numFmtId="0" fontId="18" fillId="7" borderId="0" applyAlignment="1" pivotButton="0" quotePrefix="0" xfId="0">
      <alignment horizontal="center" vertical="center" wrapText="1"/>
    </xf>
    <xf numFmtId="0" fontId="9" fillId="3" borderId="0" applyAlignment="1" pivotButton="0" quotePrefix="0" xfId="0">
      <alignment horizontal="center" vertical="center" wrapText="1"/>
    </xf>
    <xf numFmtId="0" fontId="10" fillId="4" borderId="0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 wrapText="1"/>
    </xf>
    <xf numFmtId="164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center" wrapText="1"/>
    </xf>
    <xf numFmtId="0" fontId="10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1" fillId="5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general" vertical="center" wrapText="1"/>
    </xf>
    <xf numFmtId="164" fontId="6" fillId="0" borderId="1" applyAlignment="1" pivotButton="0" quotePrefix="0" xfId="0">
      <alignment horizontal="general" vertical="center" wrapText="1"/>
    </xf>
    <xf numFmtId="0" fontId="11" fillId="6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top" wrapText="1"/>
    </xf>
    <xf numFmtId="0" fontId="12" fillId="3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4" fontId="6" fillId="0" borderId="1" applyAlignment="1" pivotButton="0" quotePrefix="0" xfId="0">
      <alignment horizontal="general" vertical="top" wrapText="1"/>
    </xf>
    <xf numFmtId="0" fontId="13" fillId="7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wrapText="1"/>
    </xf>
    <xf numFmtId="165" fontId="6" fillId="0" borderId="1" applyAlignment="1" pivotButton="0" quotePrefix="0" xfId="0">
      <alignment horizontal="general" vertical="top" wrapText="1"/>
    </xf>
    <xf numFmtId="0" fontId="14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general" vertical="bottom"/>
    </xf>
    <xf numFmtId="0" fontId="11" fillId="5" borderId="0" applyAlignment="1" pivotButton="0" quotePrefix="0" xfId="0">
      <alignment horizontal="center" vertical="center" wrapText="1"/>
    </xf>
    <xf numFmtId="0" fontId="18" fillId="7" borderId="0" applyAlignment="1" pivotButton="0" quotePrefix="0" xfId="0">
      <alignment horizontal="center" vertical="center" wrapText="1"/>
    </xf>
    <xf numFmtId="0" fontId="9" fillId="3" borderId="0" applyAlignment="1" pivotButton="0" quotePrefix="0" xfId="0">
      <alignment horizontal="center" vertical="center" wrapText="1"/>
    </xf>
    <xf numFmtId="0" fontId="10" fillId="4" borderId="0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/>
    </xf>
    <xf numFmtId="165" fontId="6" fillId="0" borderId="1" applyAlignment="1" pivotButton="0" quotePrefix="0" xfId="0">
      <alignment horizontal="center" vertical="center" wrapText="1"/>
    </xf>
    <xf numFmtId="165" fontId="0" fillId="0" borderId="0" pivotButton="0" quotePrefix="0" xfId="0"/>
    <xf numFmtId="0" fontId="23" fillId="8" borderId="0" applyAlignment="1" pivotButton="0" quotePrefix="0" xfId="0">
      <alignment vertical="center" wrapText="1"/>
    </xf>
    <xf numFmtId="166" fontId="6" fillId="0" borderId="1" applyAlignment="1" pivotButton="0" quotePrefix="0" xfId="0">
      <alignment horizontal="center" vertical="center" wrapText="1"/>
    </xf>
    <xf numFmtId="0" fontId="0" fillId="0" borderId="6" applyAlignment="1" pivotButton="0" quotePrefix="0" xfId="0">
      <alignment vertical="top" wrapText="1"/>
    </xf>
    <xf numFmtId="166" fontId="0" fillId="0" borderId="6" applyAlignment="1" pivotButton="0" quotePrefix="0" xfId="0">
      <alignment vertical="top" wrapText="1"/>
    </xf>
    <xf numFmtId="166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3">
    <dxf>
      <fill>
        <patternFill patternType="solid">
          <fgColor rgb="FF1F4E3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ont>
        <name val="Microsoft YaHei"/>
        <charset val="1"/>
        <family val="0"/>
        <b val="1"/>
        <color rgb="FF006100"/>
        <sz val="10"/>
      </font>
      <fill>
        <patternFill>
          <bgColor rgb="FFC6EFCE"/>
        </patternFill>
      </fill>
    </dxf>
    <dxf>
      <font>
        <name val="Microsoft YaHei"/>
        <charset val="1"/>
        <family val="0"/>
        <b val="1"/>
        <color rgb="FF9C5700"/>
        <sz val="10"/>
      </font>
      <fill>
        <patternFill>
          <bgColor rgb="FFFFEB9C"/>
        </patternFill>
      </fill>
    </dxf>
    <dxf>
      <font>
        <name val="Microsoft YaHei"/>
        <charset val="1"/>
        <family val="0"/>
        <b val="1"/>
        <color rgb="FFC65911"/>
        <sz val="10"/>
      </font>
      <fill>
        <patternFill>
          <bgColor rgb="FFFCE4D6"/>
        </patternFill>
      </fill>
    </dxf>
    <dxf>
      <font>
        <name val="Microsoft YaHei"/>
        <charset val="1"/>
        <family val="0"/>
        <b val="1"/>
        <color rgb="FF595959"/>
        <sz val="10"/>
      </font>
      <fill>
        <patternFill>
          <bgColor rgb="FFD9D9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D9D9D9"/>
      <rgbColor rgb="FF808080"/>
      <rgbColor rgb="FF9999FF"/>
      <rgbColor rgb="FFC0504D"/>
      <rgbColor rgb="FFFFF2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5EC69"/>
      <rgbColor rgb="FFFF99CC"/>
      <rgbColor rgb="FFCC99FF"/>
      <rgbColor rgb="FFFCE4D6"/>
      <rgbColor rgb="FF4F81BD"/>
      <rgbColor rgb="FF4BACC6"/>
      <rgbColor rgb="FF9BBB59"/>
      <rgbColor rgb="FFFFCC00"/>
      <rgbColor rgb="FFFF9900"/>
      <rgbColor rgb="FFC65911"/>
      <rgbColor rgb="FF8064A2"/>
      <rgbColor rgb="FF969696"/>
      <rgbColor rgb="FF1F4E3D"/>
      <rgbColor rgb="FF07C160"/>
      <rgbColor rgb="FF003300"/>
      <rgbColor rgb="FF333300"/>
      <rgbColor rgb="FF9C5700"/>
      <rgbColor rgb="FF993366"/>
      <rgbColor rgb="FF59595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按状态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pieChart>
        <varyColors val="1"/>
        <ser>
          <idx val="0"/>
          <order val="0"/>
          <tx>
            <strRef>
              <f>统计!B4</f>
              <strCache>
                <ptCount val="1"/>
                <pt idx="0">
                  <v>条数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explosion val="0"/>
          <dPt>
            <idx val="0"/>
            <spPr>
              <a:solidFill xmlns:a="http://schemas.openxmlformats.org/drawingml/2006/main">
                <a:srgbClr val="4f81bd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c0504d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9bbb59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8064a2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4bacc6"/>
              </a:solidFill>
              <a:ln xmlns:a="http://schemas.openxmlformats.org/drawingml/2006/main" w="0">
                <a:noFill/>
                <a:prstDash val="solid"/>
              </a:ln>
            </spPr>
          </dPt>
          <dLbls>
            <dLbl>
              <idx val="0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</a:p>
              </txPr>
              <dLblPos val="bestFit"/>
              <showLegendKey val="1"/>
              <showVal val="0"/>
              <showCatName val="1"/>
              <showSerName val="1"/>
              <showPercent val="1"/>
            </dLbl>
            <dLbl>
              <idx val="1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</a:p>
              </txPr>
              <dLblPos val="bestFit"/>
              <showLegendKey val="1"/>
              <showVal val="0"/>
              <showCatName val="1"/>
              <showSerName val="1"/>
              <showPercent val="1"/>
            </dLbl>
            <dLbl>
              <idx val="2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</a:p>
              </txPr>
              <dLblPos val="bestFit"/>
              <showLegendKey val="1"/>
              <showVal val="0"/>
              <showCatName val="1"/>
              <showSerName val="1"/>
              <showPercent val="1"/>
            </dLbl>
            <dLbl>
              <idx val="3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</a:p>
              </txPr>
              <dLblPos val="bestFit"/>
              <showLegendKey val="1"/>
              <showVal val="0"/>
              <showCatName val="1"/>
              <showSerName val="1"/>
              <showPercent val="1"/>
            </dLbl>
            <dLbl>
              <idx val="4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</a:p>
              </txPr>
              <dLblPos val="bestFit"/>
              <showLegendKey val="1"/>
              <showVal val="0"/>
              <showCatName val="1"/>
              <showSerName val="1"/>
              <showPercent val="1"/>
            </dLbl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>None</a:t>
                </a:r>
              </a:p>
            </txPr>
            <dLblPos val="bestFit"/>
            <showLegendKey val="1"/>
            <showVal val="0"/>
            <showCatName val="1"/>
            <showSerName val="1"/>
            <showPercent val="1"/>
            <showLeaderLines val="1"/>
          </dLbls>
          <cat>
            <strRef>
              <f>统计!$A$5:$A$9</f>
              <strCache>
                <ptCount val="5"/>
                <pt idx="0">
                  <v>待处理</v>
                </pt>
                <pt idx="1">
                  <v>处理中</v>
                </pt>
                <pt idx="2">
                  <v>待确认</v>
                </pt>
                <pt idx="3">
                  <v>已处理</v>
                </pt>
                <pt idx="4">
                  <v>暂缓</v>
                </pt>
              </strCache>
            </strRef>
          </cat>
          <val>
            <numRef>
              <f>统计!$B$5:$B$9</f>
              <numCache>
                <formatCode>General</formatCode>
                <ptCount val="5"/>
                <pt idx="0">
                  <v>0</v>
                </pt>
                <pt idx="1">
                  <v>0</v>
                </pt>
                <pt idx="2">
                  <v>1</v>
                </pt>
                <pt idx="3">
                  <v>33</v>
                </pt>
                <pt idx="4">
                  <v>7</v>
                </pt>
              </numCache>
            </numRef>
          </val>
        </ser>
        <firstSliceAng val="0"/>
      </pieChart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 editAs="oneCell">
    <from>
      <col>3</col>
      <colOff>0</colOff>
      <row>2</row>
      <rowOff>101160</rowOff>
    </from>
    <to>
      <col>11</col>
      <colOff>144720</colOff>
      <row>17</row>
      <rowOff>120240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tabColor rgb="FF07C160"/>
    <outlinePr summaryBelow="1" summaryRight="1"/>
    <pageSetUpPr fitToPage="1"/>
  </sheetPr>
  <dimension ref="A1:L9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40" min="1" max="1"/>
    <col width="12" customWidth="1" style="40" min="2" max="2"/>
    <col width="10" customWidth="1" style="40" min="3" max="4"/>
    <col width="28" customWidth="1" style="40" min="5" max="5"/>
    <col width="42" customWidth="1" style="40" min="6" max="6"/>
    <col width="38" customWidth="1" style="40" min="7" max="7"/>
    <col width="13" customWidth="1" style="40" min="8" max="9"/>
    <col width="14" customWidth="1" style="40" min="10" max="10"/>
    <col width="36" customWidth="1" style="40" min="11" max="11"/>
    <col width="12" customWidth="1" style="41" min="12" max="12"/>
  </cols>
  <sheetData>
    <row r="1" ht="24" customHeight="1" s="41">
      <c r="A1" s="42" t="inlineStr">
        <is>
          <t>ID</t>
        </is>
      </c>
      <c r="B1" s="43" t="inlineStr">
        <is>
          <t>状态</t>
        </is>
      </c>
      <c r="C1" s="43" t="inlineStr">
        <is>
          <t>优先级</t>
        </is>
      </c>
      <c r="D1" s="43" t="inlineStr">
        <is>
          <t>模块</t>
        </is>
      </c>
      <c r="E1" s="43" t="inlineStr">
        <is>
          <t>标题</t>
        </is>
      </c>
      <c r="F1" s="43" t="inlineStr">
        <is>
          <t>现象与说明</t>
        </is>
      </c>
      <c r="G1" s="43" t="inlineStr">
        <is>
          <t>处理结论</t>
        </is>
      </c>
      <c r="H1" s="43" t="inlineStr">
        <is>
          <t>发现日期</t>
        </is>
      </c>
      <c r="I1" s="43" t="inlineStr">
        <is>
          <t>关闭日期</t>
        </is>
      </c>
      <c r="J1" s="43" t="inlineStr">
        <is>
          <t>本地 commit</t>
        </is>
      </c>
      <c r="K1" s="43" t="inlineStr">
        <is>
          <t>维护备注</t>
        </is>
      </c>
      <c r="L1" s="84" t="inlineStr">
        <is>
          <t>远程状态</t>
        </is>
      </c>
    </row>
    <row r="2" ht="51.75" customHeight="1" s="41">
      <c r="A2" s="44" t="inlineStr">
        <is>
          <t>A-01</t>
        </is>
      </c>
      <c r="B2" s="45" t="inlineStr">
        <is>
          <t>已处理</t>
        </is>
      </c>
      <c r="C2" s="44" t="inlineStr">
        <is>
          <t>P0</t>
        </is>
      </c>
      <c r="D2" s="46" t="inlineStr">
        <is>
          <t>工程</t>
        </is>
      </c>
      <c r="E2" s="46" t="inlineStr">
        <is>
          <t>项目初始化（阶段 A）</t>
        </is>
      </c>
      <c r="F2" s="46" t="inlineStr">
        <is>
          <t>空仓库落地 Vite+Vue3 三栏壳 + Fastify 健康检查。</t>
        </is>
      </c>
      <c r="G2" s="46" t="inlineStr">
        <is>
          <t>本机可 npm run dev；前端 5173，后端 8787。</t>
        </is>
      </c>
      <c r="H2" s="44" t="inlineStr">
        <is>
          <t>2026-09-13</t>
        </is>
      </c>
      <c r="I2" s="44" t="inlineStr">
        <is>
          <t>2026-09-13</t>
        </is>
      </c>
      <c r="J2" s="44" t="inlineStr">
        <is>
          <t>b1cc62c</t>
        </is>
      </c>
      <c r="K2" s="46" t="inlineStr">
        <is>
          <t>另有 57c2bce 修 .env.example 编码</t>
        </is>
      </c>
      <c r="L2" s="40" t="inlineStr">
        <is>
          <t>已 push</t>
        </is>
      </c>
    </row>
    <row r="3" ht="51.75" customHeight="1" s="41">
      <c r="A3" s="44" t="inlineStr">
        <is>
          <t>A-02</t>
        </is>
      </c>
      <c r="B3" s="45" t="inlineStr">
        <is>
          <t>已处理</t>
        </is>
      </c>
      <c r="C3" s="44" t="inlineStr">
        <is>
          <t>P0</t>
        </is>
      </c>
      <c r="D3" s="46" t="inlineStr">
        <is>
          <t>私聊</t>
        </is>
      </c>
      <c r="E3" s="46" t="inlineStr">
        <is>
          <t>角色导入 + 私聊闭环（阶段 B）</t>
        </is>
      </c>
      <c r="F3" s="46" t="inlineStr">
        <is>
          <t>导入角色卡后发「你好」应收到人设回复，刷新后记录仍在。</t>
        </is>
      </c>
      <c r="G3" s="46" t="inlineStr">
        <is>
          <t>林深人设短回复可用，SQLite 持久化。</t>
        </is>
      </c>
      <c r="H3" s="44" t="inlineStr">
        <is>
          <t>2026-09-13</t>
        </is>
      </c>
      <c r="I3" s="44" t="inlineStr">
        <is>
          <t>2026-09-13</t>
        </is>
      </c>
      <c r="J3" s="44" t="n"/>
      <c r="K3" s="46" t="inlineStr">
        <is>
          <t>测试卡：samples/characters/linshen.json</t>
        </is>
      </c>
      <c r="L3" s="40" t="inlineStr">
        <is>
          <t>已 push</t>
        </is>
      </c>
    </row>
    <row r="4" ht="51.75" customHeight="1" s="41">
      <c r="A4" s="44" t="inlineStr">
        <is>
          <t>A-03</t>
        </is>
      </c>
      <c r="B4" s="45" t="inlineStr">
        <is>
          <t>已处理</t>
        </is>
      </c>
      <c r="C4" s="44" t="inlineStr">
        <is>
          <t>P0</t>
        </is>
      </c>
      <c r="D4" s="46" t="inlineStr">
        <is>
          <t>群聊</t>
        </is>
      </c>
      <c r="E4" s="46" t="inlineStr">
        <is>
          <t>群聊 @ 指定 / 未 @ 轮询（阶段 C）</t>
        </is>
      </c>
      <c r="F4" s="46" t="inlineStr">
        <is>
          <t>多角色群需 @ 只回一人，未 @ 一次只回一条。</t>
        </is>
      </c>
      <c r="G4" s="46" t="inlineStr">
        <is>
          <t>路由正确；后续另修「回谁」的提示词问题，见 G-02。</t>
        </is>
      </c>
      <c r="H4" s="44" t="inlineStr">
        <is>
          <t>2026-09-13</t>
        </is>
      </c>
      <c r="I4" s="44" t="inlineStr">
        <is>
          <t>2026-09-13</t>
        </is>
      </c>
      <c r="J4" s="44" t="inlineStr">
        <is>
          <t>c8fadcd</t>
        </is>
      </c>
      <c r="K4" s="46" t="n"/>
      <c r="L4" s="40" t="inlineStr">
        <is>
          <t>已 push</t>
        </is>
      </c>
    </row>
    <row r="5" ht="51.75" customHeight="1" s="41">
      <c r="A5" s="44" t="inlineStr">
        <is>
          <t>A-04</t>
        </is>
      </c>
      <c r="B5" s="45" t="inlineStr">
        <is>
          <t>已处理</t>
        </is>
      </c>
      <c r="C5" s="44" t="inlineStr">
        <is>
          <t>P1</t>
        </is>
      </c>
      <c r="D5" s="46" t="inlineStr">
        <is>
          <t>朋友圈</t>
        </is>
      </c>
      <c r="E5" s="46" t="inlineStr">
        <is>
          <t>手动发动态 + 点赞评论（阶段 D）</t>
        </is>
      </c>
      <c r="F5" s="46" t="inlineStr">
        <is>
          <t>时间线、「让 TA 发一条」、用户点赞和评论。</t>
        </is>
      </c>
      <c r="G5" s="46" t="inlineStr">
        <is>
          <t>走 POST /api/moments/generate。定时与角色互评不做。</t>
        </is>
      </c>
      <c r="H5" s="44" t="inlineStr">
        <is>
          <t>2026-09-13</t>
        </is>
      </c>
      <c r="I5" s="44" t="inlineStr">
        <is>
          <t>2026-09-13</t>
        </is>
      </c>
      <c r="J5" s="44" t="inlineStr">
        <is>
          <t>c8fadcd</t>
        </is>
      </c>
      <c r="K5" s="46" t="n"/>
      <c r="L5" s="40" t="inlineStr">
        <is>
          <t>已 push</t>
        </is>
      </c>
    </row>
    <row r="6" ht="51.75" customHeight="1" s="41">
      <c r="A6" s="44" t="inlineStr">
        <is>
          <t>A-05</t>
        </is>
      </c>
      <c r="B6" s="45" t="inlineStr">
        <is>
          <t>已处理</t>
        </is>
      </c>
      <c r="C6" s="44" t="inlineStr">
        <is>
          <t>P0</t>
        </is>
      </c>
      <c r="D6" s="46" t="inlineStr">
        <is>
          <t>模型</t>
        </is>
      </c>
      <c r="E6" s="47" t="inlineStr">
        <is>
          <t>Qwen3.5 思考链导致空回复或极慢</t>
        </is>
      </c>
      <c r="F6" s="47" t="inlineStr">
        <is>
          <t>9B 在 /v1 默认思考，content 可能为空或很慢。</t>
        </is>
      </c>
      <c r="G6" s="47" t="inlineStr">
        <is>
          <t>Ollama 请求顶层加 reasoning_effort: none；只解析 message.content。</t>
        </is>
      </c>
      <c r="H6" s="44" t="inlineStr">
        <is>
          <t>2026-09-13</t>
        </is>
      </c>
      <c r="I6" s="44" t="inlineStr">
        <is>
          <t>2026-09-13</t>
        </is>
      </c>
      <c r="J6" s="44" t="inlineStr">
        <is>
          <t>f961619</t>
        </is>
      </c>
      <c r="K6" s="46" t="inlineStr">
        <is>
          <t>林深约 1.9s 回完。DeepSeek 通道不加该字段。</t>
        </is>
      </c>
      <c r="L6" s="40" t="inlineStr">
        <is>
          <t>已 push</t>
        </is>
      </c>
    </row>
    <row r="7" ht="51.75" customHeight="1" s="41">
      <c r="A7" s="44" t="inlineStr">
        <is>
          <t>U-01</t>
        </is>
      </c>
      <c r="B7" s="45" t="inlineStr">
        <is>
          <t>已处理</t>
        </is>
      </c>
      <c r="C7" s="44" t="inlineStr">
        <is>
          <t>P2</t>
        </is>
      </c>
      <c r="D7" s="46" t="inlineStr">
        <is>
          <t>界面</t>
        </is>
      </c>
      <c r="E7" s="46" t="inlineStr">
        <is>
          <t>会话列表标题误写「微信」</t>
        </is>
      </c>
      <c r="F7" s="46" t="inlineStr">
        <is>
          <t>中栏标题应为本产品名。</t>
        </is>
      </c>
      <c r="G7" s="46" t="inlineStr">
        <is>
          <t>改为「酒馆」，左上角头像字「馆」。</t>
        </is>
      </c>
      <c r="H7" s="44" t="inlineStr">
        <is>
          <t>2026-09-13</t>
        </is>
      </c>
      <c r="I7" s="44" t="inlineStr">
        <is>
          <t>2026-09-13</t>
        </is>
      </c>
      <c r="J7" s="44" t="inlineStr">
        <is>
          <t>c8fadcd</t>
        </is>
      </c>
      <c r="K7" s="47" t="n"/>
      <c r="L7" s="40" t="inlineStr">
        <is>
          <t>已 push</t>
        </is>
      </c>
    </row>
    <row r="8" ht="51.75" customHeight="1" s="41">
      <c r="A8" s="44" t="inlineStr">
        <is>
          <t>U-02</t>
        </is>
      </c>
      <c r="B8" s="45" t="inlineStr">
        <is>
          <t>已处理</t>
        </is>
      </c>
      <c r="C8" s="44" t="inlineStr">
        <is>
          <t>P2</t>
        </is>
      </c>
      <c r="D8" s="46" t="inlineStr">
        <is>
          <t>界面</t>
        </is>
      </c>
      <c r="E8" s="46" t="inlineStr">
        <is>
          <t>自己的气泡不够像微信 / 群头像单字</t>
        </is>
      </c>
      <c r="F8" s="46" t="inlineStr">
        <is>
          <t>绿气泡偏按钮；群头像只显示一人。</t>
        </is>
      </c>
      <c r="G8" s="46" t="inlineStr">
        <is>
          <t>气泡更扁更靠右；群头像最多 4 格文字拼贴。</t>
        </is>
      </c>
      <c r="H8" s="44" t="inlineStr">
        <is>
          <t>2026-09-13</t>
        </is>
      </c>
      <c r="I8" s="44" t="inlineStr">
        <is>
          <t>2026-09-13</t>
        </is>
      </c>
      <c r="J8" s="44" t="inlineStr">
        <is>
          <t>c8fadcd</t>
        </is>
      </c>
      <c r="K8" s="46" t="inlineStr">
        <is>
          <t>真头像拼图仍暂缓，见 B-03。</t>
        </is>
      </c>
      <c r="L8" s="40" t="inlineStr">
        <is>
          <t>已 push</t>
        </is>
      </c>
    </row>
    <row r="9" ht="51.75" customHeight="1" s="41">
      <c r="A9" s="44" t="inlineStr">
        <is>
          <t>G-01</t>
        </is>
      </c>
      <c r="B9" s="45" t="inlineStr">
        <is>
          <t>已处理</t>
        </is>
      </c>
      <c r="C9" s="44" t="inlineStr">
        <is>
          <t>P1</t>
        </is>
      </c>
      <c r="D9" s="46" t="inlineStr">
        <is>
          <t>群聊</t>
        </is>
      </c>
      <c r="E9" s="46" t="inlineStr">
        <is>
          <t>用户气泡里看不到 @ 了谁</t>
        </is>
      </c>
      <c r="F9" s="47" t="inlineStr">
        <is>
          <t>@ 只作为指定发言参数，正文不显示。</t>
        </is>
      </c>
      <c r="G9" s="46" t="inlineStr">
        <is>
          <t>发送后用户气泡可见「@角色名」。</t>
        </is>
      </c>
      <c r="H9" s="44" t="inlineStr">
        <is>
          <t>2026-09-13</t>
        </is>
      </c>
      <c r="I9" s="44" t="inlineStr">
        <is>
          <t>2026-09-13</t>
        </is>
      </c>
      <c r="J9" s="44" t="n"/>
      <c r="K9" s="47" t="inlineStr">
        <is>
          <t>E1 包。若 commit 未单独记录可补。</t>
        </is>
      </c>
      <c r="L9" s="40" t="inlineStr">
        <is>
          <t>已 push</t>
        </is>
      </c>
    </row>
    <row r="10" ht="51.75" customHeight="1" s="41">
      <c r="A10" s="44" t="inlineStr">
        <is>
          <t>G-02</t>
        </is>
      </c>
      <c r="B10" s="45" t="inlineStr">
        <is>
          <t>已处理</t>
        </is>
      </c>
      <c r="C10" s="44" t="inlineStr">
        <is>
          <t>P0</t>
        </is>
      </c>
      <c r="D10" s="46" t="inlineStr">
        <is>
          <t>群聊</t>
        </is>
      </c>
      <c r="E10" s="47" t="inlineStr">
        <is>
          <t>@ 后角色不回用户、去跟其他角色演戏</t>
        </is>
      </c>
      <c r="F10" s="46" t="inlineStr">
        <is>
          <t>「@小春 你好」却回「林深你终于来啦」。mention 只选发言人；历史把别人的话当成自己说的；失败提示进剧情。</t>
        </is>
      </c>
      <c r="G10" s="46" t="inlineStr">
        <is>
          <t>被 @ 时硬约束回用户；他人发言标【群聊记录】；过滤 LLM 失败提示。</t>
        </is>
      </c>
      <c r="H10" s="44" t="inlineStr">
        <is>
          <t>2026-09-13</t>
        </is>
      </c>
      <c r="I10" s="44" t="inlineStr">
        <is>
          <t>2026-09-13</t>
        </is>
      </c>
      <c r="J10" s="44" t="inlineStr">
        <is>
          <t>a8e685b</t>
        </is>
      </c>
      <c r="K10" s="46" t="inlineStr">
        <is>
          <t>本机已验 @小春 / @林深 / 私聊。</t>
        </is>
      </c>
      <c r="L10" s="40" t="inlineStr">
        <is>
          <t>已 push</t>
        </is>
      </c>
    </row>
    <row r="11" ht="51.75" customHeight="1" s="41">
      <c r="A11" s="44" t="inlineStr">
        <is>
          <t>U-03</t>
        </is>
      </c>
      <c r="B11" s="45" t="inlineStr">
        <is>
          <t>已处理</t>
        </is>
      </c>
      <c r="C11" s="44" t="inlineStr">
        <is>
          <t>P0</t>
        </is>
      </c>
      <c r="D11" s="46" t="inlineStr">
        <is>
          <t>界面</t>
        </is>
      </c>
      <c r="E11" s="46" t="inlineStr">
        <is>
          <t>消息变长后输入框被挤出窗口</t>
        </is>
      </c>
      <c r="F11" s="46" t="inlineStr">
        <is>
          <t>对话拉长后无法输入，整页被撑高。</t>
        </is>
      </c>
      <c r="G11" s="46" t="inlineStr">
        <is>
          <t>主栏纵向 flex；消息区单独滚动；顶栏和输入框固定。</t>
        </is>
      </c>
      <c r="H11" s="44" t="inlineStr">
        <is>
          <t>2026-09-13</t>
        </is>
      </c>
      <c r="I11" s="44" t="inlineStr">
        <is>
          <t>2026-09-13</t>
        </is>
      </c>
      <c r="J11" s="44" t="n"/>
      <c r="K11" s="47" t="inlineStr">
        <is>
          <t>2026-09-13 23:00 本机验收通过。</t>
        </is>
      </c>
      <c r="L11" s="40" t="inlineStr">
        <is>
          <t>已 push</t>
        </is>
      </c>
    </row>
    <row r="12" ht="51.75" customHeight="1" s="41">
      <c r="A12" s="44" t="inlineStr">
        <is>
          <t>G-03</t>
        </is>
      </c>
      <c r="B12" s="45" t="inlineStr">
        <is>
          <t>已处理</t>
        </is>
      </c>
      <c r="C12" s="44" t="inlineStr">
        <is>
          <t>P1</t>
        </is>
      </c>
      <c r="D12" s="46" t="inlineStr">
        <is>
          <t>群聊</t>
        </is>
      </c>
      <c r="E12" s="46" t="inlineStr">
        <is>
          <t>改群名 / 解散群</t>
        </is>
      </c>
      <c r="F12" s="46" t="inlineStr">
        <is>
          <t>测试群无法改名或丢掉。</t>
        </is>
      </c>
      <c r="G12" s="46" t="inlineStr">
        <is>
          <t>标题旁「…」可改名；解散需二次确认，不影响私聊。</t>
        </is>
      </c>
      <c r="H12" s="44" t="inlineStr">
        <is>
          <t>2026-09-13</t>
        </is>
      </c>
      <c r="I12" s="44" t="inlineStr">
        <is>
          <t>2026-09-13</t>
        </is>
      </c>
      <c r="J12" s="44" t="n"/>
      <c r="K12" s="47" t="inlineStr">
        <is>
          <t>E1。截图已见「冒险者公会-验收2」。</t>
        </is>
      </c>
      <c r="L12" s="40" t="inlineStr">
        <is>
          <t>已 push</t>
        </is>
      </c>
    </row>
    <row r="13" ht="51.75" customHeight="1" s="41">
      <c r="A13" s="44" t="inlineStr">
        <is>
          <t>C-01</t>
        </is>
      </c>
      <c r="B13" s="45" t="inlineStr">
        <is>
          <t>已处理</t>
        </is>
      </c>
      <c r="C13" s="44" t="inlineStr">
        <is>
          <t>P1</t>
        </is>
      </c>
      <c r="D13" s="46" t="inlineStr">
        <is>
          <t>会话</t>
        </is>
      </c>
      <c r="E13" s="46" t="inlineStr">
        <is>
          <t>删除单条消息 / 清空本会话</t>
        </is>
      </c>
      <c r="F13" s="46" t="inlineStr">
        <is>
          <t>试错和失败提示清不掉。</t>
        </is>
      </c>
      <c r="G13" s="46" t="inlineStr">
        <is>
          <t>可删单条；可清空当前会话；不做「删全部聊天」。</t>
        </is>
      </c>
      <c r="H13" s="44" t="inlineStr">
        <is>
          <t>2026-09-13</t>
        </is>
      </c>
      <c r="I13" s="44" t="inlineStr">
        <is>
          <t>2026-09-13</t>
        </is>
      </c>
      <c r="J13" s="44" t="n"/>
      <c r="K13" s="47" t="inlineStr">
        <is>
          <t>E1。清空后不自动插开场白。</t>
        </is>
      </c>
      <c r="L13" s="40" t="inlineStr">
        <is>
          <t>已 push</t>
        </is>
      </c>
    </row>
    <row r="14" ht="51.75" customHeight="1" s="41">
      <c r="A14" s="44" t="inlineStr">
        <is>
          <t>C-02</t>
        </is>
      </c>
      <c r="B14" s="45" t="inlineStr">
        <is>
          <t>已处理</t>
        </is>
      </c>
      <c r="C14" s="44" t="inlineStr">
        <is>
          <t>P1</t>
        </is>
      </c>
      <c r="D14" s="46" t="inlineStr">
        <is>
          <t>会话</t>
        </is>
      </c>
      <c r="E14" s="46" t="inlineStr">
        <is>
          <t>同一角色出现多条私聊 + 列表删除会话</t>
        </is>
      </c>
      <c r="F14" s="46" t="inlineStr">
        <is>
          <t>通讯录反复点「发消息」会新开一条；列表不能删会话。应对同一角色复用一条私聊，并支持左滑/右键删除。</t>
        </is>
      </c>
      <c r="G14" s="46" t="inlineStr">
        <is>
          <t>2026-09-14 本机确认：通讯录连点林深「发消息」、主页再进，均为同一条私聊；列表删除会话可用。</t>
        </is>
      </c>
      <c r="H14" s="44" t="inlineStr">
        <is>
          <t>2026-09-13</t>
        </is>
      </c>
      <c r="I14" s="44" t="inlineStr">
        <is>
          <t>2026-09-14</t>
        </is>
      </c>
      <c r="J14" s="44" t="n"/>
      <c r="K14" s="46" t="inlineStr">
        <is>
          <t>若仍有两条「林深」「夜见」，保持待确认并让 Bot 补齐。 2026-09-14 左滑红底穿透已用 cb26e32 补实正面背景。 2026-09-14 23:15 用户验收关闭。</t>
        </is>
      </c>
      <c r="L14" s="40" t="inlineStr">
        <is>
          <t>已 push</t>
        </is>
      </c>
    </row>
    <row r="15" ht="51.75" customHeight="1" s="41">
      <c r="A15" s="44" t="inlineStr">
        <is>
          <t>C-03</t>
        </is>
      </c>
      <c r="B15" s="48" t="inlineStr">
        <is>
          <t>已处理</t>
        </is>
      </c>
      <c r="C15" s="44" t="inlineStr">
        <is>
          <t>P1</t>
        </is>
      </c>
      <c r="D15" s="46" t="inlineStr">
        <is>
          <t>会话</t>
        </is>
      </c>
      <c r="E15" s="46" t="inlineStr">
        <is>
          <t>会话列表未读红点</t>
        </is>
      </c>
      <c r="F15" s="46" t="inlineStr">
        <is>
          <t>新回复没有未读计数，不像微信。点进会话即已读即可，不必做角色已读回执。</t>
        </is>
      </c>
      <c r="G15" s="49" t="inlineStr">
        <is>
          <t>2026-09-17 用户验收通过：打开会话后列表红点立刻消失，不必再切页。</t>
        </is>
      </c>
      <c r="H15" s="44" t="inlineStr">
        <is>
          <t>2026-09-13</t>
        </is>
      </c>
      <c r="I15" s="50" t="n">
        <v>46282</v>
      </c>
      <c r="J15" s="44" t="inlineStr">
        <is>
          <t>9381115</t>
        </is>
      </c>
      <c r="K15" s="51" t="inlineStr">
        <is>
          <t>原待优化点第 6 条。建议作为下一包。 2026-09-14 夜排期：C-02 确认后作为下一开发包。 2026-09-14 23:15 已拆给 GrokBot。 2026-09-15 19:27 用户：发送后立刻回会话列表无红点；朋友圈触发后也无红点。会话红点按 C-03 排查；空间红点不在本包。 2026-09-15 19:35 Bot 汇报 9381115，改待确认。 2026-09-15 19:40 造未读困难已记 C-05，不因此打回实现。 2026-09-15 22:05 交接：代码在但难造未读，挂 C-05，不打回实现、不新开开发包。 2026-09-16：主动互动设计已备忘，C-05 仍暂缓；未读验收仍挂主动。 2026-09-17 C-05 第一刀开工，验收时一并看红点。 2026-09-17 C-05 已能写入 source=proactive 且不 markRead。等用户离开会话看列表红点后关单。 2026-09-17 用户截图：未选会话时林深有红点1；点进私聊气泡已有主动句，列表红点仍在。 2026-09-17 用户确认验收通过，关单。 2026-10-10 清备注：对应功能已在远程，去掉过期未合入表述。</t>
        </is>
      </c>
      <c r="L15" s="40" t="inlineStr">
        <is>
          <t>已 push</t>
        </is>
      </c>
    </row>
    <row r="16" ht="51.75" customHeight="1" s="41">
      <c r="A16" s="44" t="inlineStr">
        <is>
          <t>R-01</t>
        </is>
      </c>
      <c r="B16" s="45" t="inlineStr">
        <is>
          <t>已处理</t>
        </is>
      </c>
      <c r="C16" s="44" t="inlineStr">
        <is>
          <t>P1</t>
        </is>
      </c>
      <c r="D16" s="46" t="inlineStr">
        <is>
          <t>角色</t>
        </is>
      </c>
      <c r="E16" s="46" t="inlineStr">
        <is>
          <t>覆盖导入指定角色人设</t>
        </is>
      </c>
      <c r="F16" s="46" t="inlineStr">
        <is>
          <t>改卡后应更新同一角色，保留聊天记录。需提示「将覆盖人设，记录保留」。2026-09-15 用户实测：重复导入同一张 JSON 会得到两个一样的角色。</t>
        </is>
      </c>
      <c r="G16" s="47" t="inlineStr">
        <is>
          <t>2026-09-15 本机验收通过：同名 JSON 先出覆盖确认，取消不改；确认后仍一个角色且聊天保留。commit 501e788。</t>
        </is>
      </c>
      <c r="H16" s="44" t="inlineStr">
        <is>
          <t>2026-09-13</t>
        </is>
      </c>
      <c r="I16" s="44" t="inlineStr">
        <is>
          <t>2026-09-15</t>
        </is>
      </c>
      <c r="J16" s="44" t="inlineStr">
        <is>
          <t>501e788</t>
        </is>
      </c>
      <c r="K16" s="46" t="inlineStr">
        <is>
          <t>原待优化点第 3 条。先确认 PNG/JSON 导入都可用。 2026-09-14 夜排期：排在 C-03 之后；覆盖前先确认 JSON/PNG 导入。 2026-09-15 19:43 用户复现重复导入，已拆给 GrokBot。 2026-09-15 19:51 Bot 汇报 501e788，改待确认。 2026-09-15 19:56 用户验收关闭。 2026-10-10 清备注：对应功能已在远程，去掉过期未合入表述。</t>
        </is>
      </c>
      <c r="L16" s="40" t="inlineStr">
        <is>
          <t>已 push</t>
        </is>
      </c>
    </row>
    <row r="17" ht="51.75" customHeight="1" s="41">
      <c r="A17" s="44" t="inlineStr">
        <is>
          <t>M-01</t>
        </is>
      </c>
      <c r="B17" s="45" t="inlineStr">
        <is>
          <t>已处理</t>
        </is>
      </c>
      <c r="C17" s="44" t="inlineStr">
        <is>
          <t>P2</t>
        </is>
      </c>
      <c r="D17" s="46" t="inlineStr">
        <is>
          <t>朋友圈</t>
        </is>
      </c>
      <c r="E17" s="46" t="inlineStr">
        <is>
          <t>用户评论后由动态作者回复</t>
        </is>
      </c>
      <c r="F17" s="46" t="inlineStr">
        <is>
          <t>评论某条动态后，作者应用自己的人设回一条。不需要好友系统。</t>
        </is>
      </c>
      <c r="G17" s="46" t="inlineStr">
        <is>
          <t>用户评角色动态后 5～15s 作者回一句；总开关关不回；同动态只回一次。2026-10-09 BF 验收通过；2026-10-10 已上远程 tip 5c8f652（rebase 后哈希；旧 2c2e897 不在 origin）。</t>
        </is>
      </c>
      <c r="H17" s="44" t="inlineStr">
        <is>
          <t>a2be134</t>
        </is>
      </c>
      <c r="I17" s="82" t="n">
        <v>46304</v>
      </c>
      <c r="J17" s="44" t="inlineStr">
        <is>
          <t>5c8f652</t>
        </is>
      </c>
      <c r="K17" s="46" t="inlineStr">
        <is>
          <t>原待优化点第 5 条的小方案。 2026-09-16：与 M-07 不同——M-01 是用户评角色动态后作者再回。 2026-10-09 点收； 2026-10-10 备注对齐：已 push，commit=5c8f652。</t>
        </is>
      </c>
      <c r="L17" s="40" t="inlineStr">
        <is>
          <t>已 push</t>
        </is>
      </c>
    </row>
    <row r="18" ht="51.75" customHeight="1" s="41">
      <c r="A18" s="44" t="inlineStr">
        <is>
          <t>M-02</t>
        </is>
      </c>
      <c r="B18" s="45" t="inlineStr">
        <is>
          <t>暂缓</t>
        </is>
      </c>
      <c r="C18" s="44" t="inlineStr">
        <is>
          <t>P3</t>
        </is>
      </c>
      <c r="D18" s="46" t="inlineStr">
        <is>
          <t>朋友圈</t>
        </is>
      </c>
      <c r="E18" s="46" t="inlineStr">
        <is>
          <t>角色给其他角色留言 + 好友关系</t>
        </is>
      </c>
      <c r="F18" s="46" t="inlineStr">
        <is>
          <t>任意互评会变吵，且要维护可见性。建议先「同群角色才可评」，再考虑关系表。</t>
        </is>
      </c>
      <c r="G18" s="46" t="inlineStr">
        <is>
          <t>明确暂缓，避免和最小朋友圈缠在一起。</t>
        </is>
      </c>
      <c r="H18" s="44" t="inlineStr">
        <is>
          <t>2026-09-13</t>
        </is>
      </c>
      <c r="I18" s="44" t="n"/>
      <c r="J18" s="44" t="n"/>
      <c r="K18" s="46" t="inlineStr">
        <is>
          <t>触发：好感度 R-03 立后，再做角色互评/图谱。 原待优化点第 5 条的大方案。</t>
        </is>
      </c>
      <c r="L18" s="40" t="inlineStr">
        <is>
          <t>不适用</t>
        </is>
      </c>
    </row>
    <row r="19" ht="51.75" customHeight="1" s="41">
      <c r="A19" s="44" t="inlineStr">
        <is>
          <t>M-03</t>
        </is>
      </c>
      <c r="B19" s="45" t="inlineStr">
        <is>
          <t>暂缓</t>
        </is>
      </c>
      <c r="C19" s="44" t="inlineStr">
        <is>
          <t>P3</t>
        </is>
      </c>
      <c r="D19" s="46" t="inlineStr">
        <is>
          <t>朋友圈</t>
        </is>
      </c>
      <c r="E19" s="46" t="inlineStr">
        <is>
          <t>定时自动发动态</t>
        </is>
      </c>
      <c r="F19" s="46" t="inlineStr">
        <is>
          <t>规划里的定时发布。简单使用暂不需要。</t>
        </is>
      </c>
      <c r="G19" s="46" t="inlineStr">
        <is>
          <t>等手动发帖口吻稳定后再做。</t>
        </is>
      </c>
      <c r="H19" s="44" t="inlineStr">
        <is>
          <t>2026-09-13</t>
        </is>
      </c>
      <c r="I19" s="44" t="n"/>
      <c r="J19" s="44" t="n"/>
      <c r="K19" s="47" t="inlineStr">
        <is>
          <t>触发：C-05/M-07 稳定且用户明确要定时自动发动态后再开。</t>
        </is>
      </c>
      <c r="L19" s="40" t="inlineStr">
        <is>
          <t>不适用</t>
        </is>
      </c>
    </row>
    <row r="20" ht="51.75" customHeight="1" s="41">
      <c r="A20" s="44" t="inlineStr">
        <is>
          <t>B-01</t>
        </is>
      </c>
      <c r="B20" s="48" t="inlineStr">
        <is>
          <t>已处理</t>
        </is>
      </c>
      <c r="C20" s="44" t="inlineStr">
        <is>
          <t>P2</t>
        </is>
      </c>
      <c r="D20" s="46" t="inlineStr">
        <is>
          <t>角色</t>
        </is>
      </c>
      <c r="E20" s="46" t="inlineStr">
        <is>
          <t>确认 PNG 角色卡导入</t>
        </is>
      </c>
      <c r="F20" s="46" t="inlineStr">
        <is>
          <t>用真实 V2/V3 PNG 验「卡内嵌人设能否导入」。现网头像是字圆，JSON 导入只走人设、不依赖图片。PNG 嵌图头像与上传换头像尚未交付，属本条探查与 U-05，不是已有功能。手头暂无真实 PNG，保持打开，不单开开发包。</t>
        </is>
      </c>
      <c r="G20" s="49" t="inlineStr">
        <is>
          <t>2026-09-17 用户实测通过：真 PNG 卡人设可导入。不以照片头像验收。不单开开发包。</t>
        </is>
      </c>
      <c r="H20" s="44" t="inlineStr">
        <is>
          <t>2026-09-13</t>
        </is>
      </c>
      <c r="I20" s="50" t="n">
        <v>46282</v>
      </c>
      <c r="J20" s="44" t="n"/>
      <c r="K20" s="51" t="inlineStr">
        <is>
          <t>明天使用时顺手验即可，不一定要先开发。 2026-09-14 夜排期：用户顺手实测，先不单开开发包。 2026-09-14 23:15 澄清：不要按「导入后必须出现照片头像」验收。 2026-09-17 用户确认验证已过，关单。</t>
        </is>
      </c>
      <c r="L20" s="40" t="inlineStr">
        <is>
          <t>已 push</t>
        </is>
      </c>
    </row>
    <row r="21" ht="51.75" customHeight="1" s="41">
      <c r="A21" s="44" t="inlineStr">
        <is>
          <t>B-02</t>
        </is>
      </c>
      <c r="B21" s="48" t="inlineStr">
        <is>
          <t>已处理</t>
        </is>
      </c>
      <c r="C21" s="44" t="inlineStr">
        <is>
          <t>P1</t>
        </is>
      </c>
      <c r="D21" s="46" t="inlineStr">
        <is>
          <t>主页</t>
        </is>
      </c>
      <c r="E21" s="46" t="inlineStr">
        <is>
          <t>用户与角色个人主页（含说说/简介）</t>
        </is>
      </c>
      <c r="F21" s="46" t="inlineStr">
        <is>
          <t>自己和每个 AI 都要有主页：头像、名字、个人简介/说说（类似 QQ 说说一句话状态）、该角色动态列表、发消息入口。可从头像、通讯录、空间进入。角色简介优先用角色卡 description/personality，说说可另存短状态。</t>
        </is>
      </c>
      <c r="G21" s="46" t="inlineStr">
        <is>
          <t>主页+说说已上。2026-09-14 用户验收通过。</t>
        </is>
      </c>
      <c r="H21" s="44" t="inlineStr">
        <is>
          <t>2026-09-14</t>
        </is>
      </c>
      <c r="I21" s="44" t="inlineStr">
        <is>
          <t>2026-09-14</t>
        </is>
      </c>
      <c r="J21" s="44" t="n"/>
      <c r="K21" s="46" t="inlineStr">
        <is>
          <t>用一用再决定要不要补。 已从「是否完整」升级为明确需求。</t>
        </is>
      </c>
      <c r="L21" s="40" t="inlineStr">
        <is>
          <t>已 push</t>
        </is>
      </c>
    </row>
    <row r="22" ht="51.75" customHeight="1" s="41">
      <c r="A22" s="44" t="inlineStr">
        <is>
          <t>B-03</t>
        </is>
      </c>
      <c r="B22" s="48" t="inlineStr">
        <is>
          <t>已处理</t>
        </is>
      </c>
      <c r="C22" s="44" t="inlineStr">
        <is>
          <t>P3</t>
        </is>
      </c>
      <c r="D22" s="46" t="inlineStr">
        <is>
          <t>界面</t>
        </is>
      </c>
      <c r="E22" s="46" t="inlineStr">
        <is>
          <t>群头像真图拼贴</t>
        </is>
      </c>
      <c r="F22" s="46" t="inlineStr">
        <is>
          <t>现在是文字拼贴。</t>
        </is>
      </c>
      <c r="G22" s="49" t="inlineStr">
        <is>
          <t>2026-09-17 用户点收通过：群头像真图拼贴可用。与 U-05 上传验收分开。</t>
        </is>
      </c>
      <c r="H22" s="44" t="inlineStr">
        <is>
          <t>2026-09-13</t>
        </is>
      </c>
      <c r="I22" s="50" t="n">
        <v>46282</v>
      </c>
      <c r="J22" s="44" t="inlineStr">
        <is>
          <t>506b244 / 325fdec</t>
        </is>
      </c>
      <c r="K22" s="49" t="inlineStr">
        <is>
          <t xml:space="preserve"> 2026-09-16：远程已有上传头像拼贴（506b244 / 325fdec），产品未点收，保持暂缓。与 U-05 上传验收分开。 2026-09-17 用户验收关闭。</t>
        </is>
      </c>
      <c r="L22" s="40" t="inlineStr">
        <is>
          <t>已 push</t>
        </is>
      </c>
    </row>
    <row r="23" ht="51.75" customHeight="1" s="41">
      <c r="A23" s="44" t="inlineStr">
        <is>
          <t>B-04</t>
        </is>
      </c>
      <c r="B23" s="52" t="inlineStr">
        <is>
          <t>已处理</t>
        </is>
      </c>
      <c r="C23" s="44" t="inlineStr">
        <is>
          <t>P2</t>
        </is>
      </c>
      <c r="D23" s="46" t="inlineStr">
        <is>
          <t>消息</t>
        </is>
      </c>
      <c r="E23" s="46" t="inlineStr">
        <is>
          <t>图片与语音消息（插件转写或 multimodal API）</t>
        </is>
      </c>
      <c r="F23" s="46" t="inlineStr">
        <is>
          <t>发送图片、语音。实现可走：1) 内置插件做文字↔图片、文字↔语音；2) 直接接多模态模型 API。展示要进气泡/频道流，并持久化。</t>
        </is>
      </c>
      <c r="G23" s="46" t="inlineStr">
        <is>
          <t>B-04A 读图 a668a53；B-04B 生图 97ad2c6+b128045（Kolors）。2026-10-09 HY 验收通过，已 push，远程 tip 575967c。Image-Edit/视频仍不在范围。</t>
        </is>
      </c>
      <c r="H23" s="44" t="inlineStr">
        <is>
          <t>a2be134</t>
        </is>
      </c>
      <c r="I23" s="82" t="n">
        <v>46304</v>
      </c>
      <c r="J23" s="44" t="inlineStr">
        <is>
          <t>a668a53 / 97ad2c6 / b128045</t>
        </is>
      </c>
      <c r="K23" s="46" t="inlineStr">
        <is>
          <t>用户 2026-09-14 明确提出。含图片，不限于 TTS。已读双勾仍不在本条范围。 2026-09-15 对照 artifacts/agent-chat-voice-evaluation.html。密钥只进本机 .env，不入库、不进本表。 2026-09-15 20:12 用户选定硅基流动，已拆第一刀给 Bot。 2026-09-15 20:25 Bot 汇报 50b8054，改待确认。 2026-09-15 20:27 主路径可见，体验三条记 B-06。 2026-09-15 20:48 用户验收关闭语音部分。图片仍暂缓。 2026-09-15 夜交接：语音已关；后半聊天图/VLM/生图仍开、先不拆包。 2026-09-16：GLM 多模态方案 v1.2 已评估。采纳方向：朋友圈配图先于聊天发图、成本闸门、画风不一致禁直融、不引网关。不采纳为立刻动工基线：ComfyUI 工厂、千张采集、向量库、能力层大搬家。详见会话评估。 2026-09-16 用户验收：聊天发图正常。范围仅上传进气泡；未含 VLM/生图。 2026-09-16 远程聊天发图 8fa8669。VLM/生图仍不在远程。 2026-10-09 点收并 push 2981fa3..575967c。 2026-10-10 清备注：对应功能已在远程，去掉过期未合入表述。</t>
        </is>
      </c>
      <c r="L23" s="40" t="inlineStr">
        <is>
          <t>已 push</t>
        </is>
      </c>
    </row>
    <row r="24" ht="51.75" customHeight="1" s="41">
      <c r="A24" s="44" t="inlineStr">
        <is>
          <t>B-05</t>
        </is>
      </c>
      <c r="B24" s="45" t="inlineStr">
        <is>
          <t>暂缓</t>
        </is>
      </c>
      <c r="C24" s="44" t="inlineStr">
        <is>
          <t>P3</t>
        </is>
      </c>
      <c r="D24" s="46" t="inlineStr">
        <is>
          <t>界面</t>
        </is>
      </c>
      <c r="E24" s="46" t="inlineStr">
        <is>
          <t>深色主题 / 移动端适配</t>
        </is>
      </c>
      <c r="F24" s="46" t="inlineStr">
        <is>
          <t>第一期桌面浅色微信风已够用。</t>
        </is>
      </c>
      <c r="G24" s="47" t="inlineStr">
        <is>
          <t>明确暂缓。U-05 浅色预设已关，不含整站深色。</t>
        </is>
      </c>
      <c r="H24" s="44" t="inlineStr">
        <is>
          <t>2026-09-13</t>
        </is>
      </c>
      <c r="I24" s="44" t="n"/>
      <c r="J24" s="44" t="n"/>
      <c r="K24" s="46" t="inlineStr">
        <is>
          <t>触发：用户明确要整站深色或移动端适配后再开。（U-05 已关，原「完整皮肤体系见 U-05」备注失效。） 2026-10-10：保持触发式；用户明确要整站深色/移动端再开。</t>
        </is>
      </c>
      <c r="L24" s="40" t="inlineStr">
        <is>
          <t>不适用</t>
        </is>
      </c>
    </row>
    <row r="25" ht="51.75" customHeight="1" s="41">
      <c r="A25" s="44" t="inlineStr">
        <is>
          <t>O-01</t>
        </is>
      </c>
      <c r="B25" s="45" t="inlineStr">
        <is>
          <t>已处理</t>
        </is>
      </c>
      <c r="C25" s="44" t="inlineStr">
        <is>
          <t>P2</t>
        </is>
      </c>
      <c r="D25" s="46" t="inlineStr">
        <is>
          <t>工程</t>
        </is>
      </c>
      <c r="E25" s="46" t="inlineStr">
        <is>
          <t>确认远程仓库已包含最新提交</t>
        </is>
      </c>
      <c r="F25" s="46" t="inlineStr">
        <is>
          <t>多包功能在本地 commit，push 曾受 token/SSH 影响。休息前建议确认 GitHub 已有最新代码。</t>
        </is>
      </c>
      <c r="G25" s="47" t="inlineStr">
        <is>
          <t>2026-09-14 本机提交与 GitHub 已对齐。</t>
        </is>
      </c>
      <c r="H25" s="44" t="inlineStr">
        <is>
          <t>2026-09-13</t>
        </is>
      </c>
      <c r="I25" s="44" t="inlineStr">
        <is>
          <t>2026-09-14</t>
        </is>
      </c>
      <c r="J25" s="44" t="n"/>
      <c r="K25" s="46" t="inlineStr">
        <is>
          <t>不要把 token 写入本表。 2026-09-14 夜排期：与 C-02 同批由用户确认。 2026-09-14 23:15 用户确认关闭。不要把 token 写入本表。 2026-09-16 再对照：公开 main HEAD 7293da3（M-06）。O-02 a8ebcf9 仍不在远程。</t>
        </is>
      </c>
      <c r="L25" s="40" t="inlineStr">
        <is>
          <t>已 push</t>
        </is>
      </c>
    </row>
    <row r="26" ht="51.75" customHeight="1" s="41">
      <c r="A26" s="44" t="inlineStr">
        <is>
          <t>U-04</t>
        </is>
      </c>
      <c r="B26" s="48" t="inlineStr">
        <is>
          <t>已处理</t>
        </is>
      </c>
      <c r="C26" s="44" t="inlineStr">
        <is>
          <t>P1</t>
        </is>
      </c>
      <c r="D26" s="46" t="inlineStr">
        <is>
          <t>界面</t>
        </is>
      </c>
      <c r="E26" s="46" t="inlineStr">
        <is>
          <t>换 Discord 浅色风，去掉微信同质感</t>
        </is>
      </c>
      <c r="F26" s="46" t="inlineStr">
        <is>
          <t>现网过像微信且偏单调。采用 V2-Discord风格版.html 的浅色毛玻璃与频道式消息流，只换皮不换数据模型。不实现语音房、不新增服务器实体。</t>
        </is>
      </c>
      <c r="G26" s="46" t="inlineStr">
        <is>
          <t>浅色毛玻璃+频道流已上；左栏改为线性图标+方底选中态，用户确认协调。</t>
        </is>
      </c>
      <c r="H26" s="44" t="inlineStr">
        <is>
          <t>2026-09-14</t>
        </is>
      </c>
      <c r="I26" s="44" t="inlineStr">
        <is>
          <t>2026-09-14</t>
        </is>
      </c>
      <c r="J26" s="44" t="inlineStr">
        <is>
          <t>f802a38 / cb26e32</t>
        </is>
      </c>
      <c r="K26" s="46" t="inlineStr">
        <is>
          <t>有意未做：语音、多频道、资料页、表情附件、未读红点。 左栏图标第二轮已通过。 2026-10-10 清备注：对应功能已在远程，去掉过期未合入表述。</t>
        </is>
      </c>
      <c r="L26" s="40" t="inlineStr">
        <is>
          <t>已 push</t>
        </is>
      </c>
    </row>
    <row r="27" ht="21.75" customHeight="1" s="41">
      <c r="A27" s="47" t="n"/>
      <c r="B27" s="47" t="n"/>
      <c r="C27" s="47" t="n"/>
      <c r="D27" s="47" t="n"/>
      <c r="E27" s="47" t="n"/>
      <c r="H27" s="47" t="n"/>
      <c r="I27" s="47" t="n"/>
      <c r="J27" s="47" t="n"/>
      <c r="K27" s="47" t="n"/>
    </row>
    <row r="28" ht="55.5" customHeight="1" s="41">
      <c r="A28" s="44" t="inlineStr">
        <is>
          <t>U-05</t>
        </is>
      </c>
      <c r="B28" s="52" t="inlineStr">
        <is>
          <t>已处理</t>
        </is>
      </c>
      <c r="C28" s="44" t="inlineStr">
        <is>
          <t>P2</t>
        </is>
      </c>
      <c r="D28" s="46" t="inlineStr">
        <is>
          <t>界面</t>
        </is>
      </c>
      <c r="E28" s="46" t="inlineStr">
        <is>
          <t>定制化皮肤：头像、空间封面、主题预设与自定义背景</t>
        </is>
      </c>
      <c r="F28" s="46" t="inlineStr">
        <is>
          <t>可更换自己/角色头像；朋友圈或空间封面与背景可换；提供若干套风格预设；也支持自己上传图片并调节透明度。属于皮肤/主题，不改业务逻辑。</t>
        </is>
      </c>
      <c r="G28" s="47" t="inlineStr">
        <is>
          <t>2026-09-16 本机通过：头像/主页/空间背景上传 + 四套浅色预设（mist/paper/lake/dusk）+ 主页/空间背景透明度。整壳铺满视口。不做整站深色（B-05）。</t>
        </is>
      </c>
      <c r="H28" s="44" t="inlineStr">
        <is>
          <t>2026-09-14</t>
        </is>
      </c>
      <c r="I28" s="44" t="inlineStr">
        <is>
          <t>2026-09-16</t>
        </is>
      </c>
      <c r="J28" s="44" t="inlineStr">
        <is>
          <t>dc35d05 / 33fb10d / 570d3a3 / d448674</t>
        </is>
      </c>
      <c r="K28" s="46" t="inlineStr">
        <is>
          <t>用户 2026-09-14 提出。与 B-03、B-05 相关但范围更大，单独立项。 2026-09-15 21:10 用户开第一刀上传；画师 Bot 后补视觉。 2026-09-15 夜：用户确认前半本机通过。后半预设/透明度先不拆包。 2026-09-16 用户再次确认：头像/背景上传为 9-15 后加，已验证。远程另有 38714ad 气泡头像、437ad16 群成员头像。后半主题预设/透明度仍开。 2026-09-16 用户指定先做后半主题/透明度，再做用户发动态。 2026-09-16 用户截图：外观入口已在主页，但整壳变窄居中，两侧空白。未验收。拆回铺满视口。 2026-09-16 用户第二张截图验收：宽度已修，外观可用。关闭 U-05。 2026-09-16 远程已有主题预设 570d3a3、铺满视口 d448674。</t>
        </is>
      </c>
      <c r="L28" s="40" t="inlineStr">
        <is>
          <t>已 push</t>
        </is>
      </c>
    </row>
    <row r="29" ht="55.5" customHeight="1" s="41">
      <c r="A29" s="44" t="inlineStr">
        <is>
          <t>M-04</t>
        </is>
      </c>
      <c r="B29" s="48" t="inlineStr">
        <is>
          <t>已处理</t>
        </is>
      </c>
      <c r="C29" s="44" t="inlineStr">
        <is>
          <t>P1</t>
        </is>
      </c>
      <c r="D29" s="46" t="inlineStr">
        <is>
          <t>朋友圈</t>
        </is>
      </c>
      <c r="E29" s="46" t="inlineStr">
        <is>
          <t>删除动态（含角色发的）</t>
        </is>
      </c>
      <c r="F29" s="46" t="inlineStr">
        <is>
          <t>用户应能删除时间线上的动态，包括角色生成的。删除需二次确认，并去掉该条点赞评论。不影响聊天记录。</t>
        </is>
      </c>
      <c r="G29" s="46" t="inlineStr">
        <is>
          <t>删除可用；入口改为不抢眼，确认改为应用内对话框。2026-09-14 验收通过。</t>
        </is>
      </c>
      <c r="H29" s="44" t="inlineStr">
        <is>
          <t>2026-09-14</t>
        </is>
      </c>
      <c r="I29" s="44" t="inlineStr">
        <is>
          <t>2026-09-14</t>
        </is>
      </c>
      <c r="J29" s="44" t="n"/>
      <c r="K29" s="46" t="inlineStr">
        <is>
          <t>可单独开一小包给 Grok Bot。 2026-09-14 截图验收：功能在，视觉未收。</t>
        </is>
      </c>
      <c r="L29" s="40" t="inlineStr">
        <is>
          <t>已 push</t>
        </is>
      </c>
    </row>
    <row r="30" ht="55.5" customHeight="1" s="41">
      <c r="A30" s="44" t="inlineStr">
        <is>
          <t>M-05</t>
        </is>
      </c>
      <c r="B30" s="52" t="inlineStr">
        <is>
          <t>已处理</t>
        </is>
      </c>
      <c r="C30" s="44" t="inlineStr">
        <is>
          <t>P2</t>
        </is>
      </c>
      <c r="D30" s="46" t="inlineStr">
        <is>
          <t>朋友圈</t>
        </is>
      </c>
      <c r="E30" s="46" t="inlineStr">
        <is>
          <t>动态配图（总项，见 M-05a/b）</t>
        </is>
      </c>
      <c r="F30" s="46" t="inlineStr">
        <is>
          <t>总项拆为 M-05a 仅上传、M-05b 含生图。二期顺序先 M-05a。</t>
        </is>
      </c>
      <c r="G30" s="46" t="inlineStr">
        <is>
          <t>排期。可与 B-04 多媒体、U-05 封面一起做；先不要为配图重做生成链路。</t>
        </is>
      </c>
      <c r="H30" s="44" t="inlineStr">
        <is>
          <t>2026-09-14</t>
        </is>
      </c>
      <c r="I30" s="44" t="n"/>
      <c r="J30" s="44" t="n"/>
      <c r="K30" s="46" t="inlineStr">
        <is>
          <t>触发：生图成本闸门可接受，或先做仅上传配图后再开。 用户 2026-09-14 提出。生成配图依赖 B-04；纯上传可更早。 2026-09-16 产品判断：无生图时给角色动态配用户相册图不成立；若要配图需用户发动态（M-06 已关）或等生图。 2026-10-10 拆 M-05a/b；总项保持索引。 2026-10-10：M-05a 已处理（由 M-06 覆盖）；M-05b 仍暂缓。</t>
        </is>
      </c>
      <c r="L30" s="40" t="inlineStr">
        <is>
          <t>已 push</t>
        </is>
      </c>
    </row>
    <row r="31" ht="55.5" customHeight="1" s="41">
      <c r="A31" s="44" t="inlineStr">
        <is>
          <t>U-06</t>
        </is>
      </c>
      <c r="B31" s="48" t="inlineStr">
        <is>
          <t>已处理</t>
        </is>
      </c>
      <c r="C31" s="44" t="inlineStr">
        <is>
          <t>P1</t>
        </is>
      </c>
      <c r="D31" s="46" t="inlineStr">
        <is>
          <t>通讯录</t>
        </is>
      </c>
      <c r="E31" s="46" t="inlineStr">
        <is>
          <t>通讯录：私聊入口不清、发一条易误解、建群改为独立挑选页</t>
        </is>
      </c>
      <c r="F31" s="46" t="inlineStr">
        <is>
          <t>点名字看不出是进私聊；「发一条」实际是生成空间动态。建群用行内勾选不美观，应先点「创建群聊」再进挑选页勾选角色。</t>
        </is>
      </c>
      <c r="G31" s="46" t="inlineStr">
        <is>
          <t>发消息/发动态分离，建群改为独立挑选页。2026-09-14 验收通过。</t>
        </is>
      </c>
      <c r="H31" s="44" t="inlineStr">
        <is>
          <t>2026-09-14</t>
        </is>
      </c>
      <c r="I31" s="44" t="inlineStr">
        <is>
          <t>2026-09-14</t>
        </is>
      </c>
      <c r="J31" s="44" t="n"/>
      <c r="K31" s="46" t="inlineStr">
        <is>
          <t>点整行或主按钮进私聊；动态入口降级改文案。</t>
        </is>
      </c>
      <c r="L31" s="40" t="inlineStr">
        <is>
          <t>已 push</t>
        </is>
      </c>
    </row>
    <row r="32" ht="55.5" customHeight="1" s="41">
      <c r="A32" s="44" t="inlineStr">
        <is>
          <t>C-04</t>
        </is>
      </c>
      <c r="B32" s="55" t="inlineStr">
        <is>
          <t>已处理</t>
        </is>
      </c>
      <c r="C32" s="44" t="inlineStr">
        <is>
          <t>P2</t>
        </is>
      </c>
      <c r="D32" s="46" t="inlineStr">
        <is>
          <t>消息</t>
        </is>
      </c>
      <c r="E32" s="46" t="inlineStr">
        <is>
          <t>聊天表情，后续可扩展预设表情包</t>
        </is>
      </c>
      <c r="F32" s="46" t="inlineStr">
        <is>
          <t>私聊/群聊输入区支持插入系统表情（emoji）。后续再做预设表情包（贴图），可按包启用。表情要进消息正文并持久化，气泡里正常显示。</t>
        </is>
      </c>
      <c r="G32" s="47" t="inlineStr">
        <is>
          <t>2026-09-16 本机通过：用户选择器收发 Unicode 表情；角色默认少用，用户本轮带表情时可回 1 个。不做贴图包。</t>
        </is>
      </c>
      <c r="H32" s="44" t="inlineStr">
        <is>
          <t>2026-09-14</t>
        </is>
      </c>
      <c r="I32" s="44" t="inlineStr">
        <is>
          <t>2026-09-16</t>
        </is>
      </c>
      <c r="J32" s="44" t="inlineStr">
        <is>
          <t>5c8fa33 / da45e5b</t>
        </is>
      </c>
      <c r="K32" s="46" t="inlineStr">
        <is>
          <t>用户 2026-09-14 23:00 提出，先记不开发。 2026-09-14 夜排期：P1 收口后再开。 2026-09-15 夜：保持打开，先不拆包。 2026-09-16 用户指定开第一刀；要求 AI 也能按个性/会话选表情。 2026-09-16 用户：角色每句都带表情。拆收口包：默认不带 + 落库前限 1 个 + 连续回复去刷。 2026-09-16 用户确认：先前每句都带是因为自己先发表情；镜像回复符合口径。关闭。 2026-09-16 远程 5c8fa33 / da45e5b。</t>
        </is>
      </c>
      <c r="L32" s="40" t="inlineStr">
        <is>
          <t>已 push</t>
        </is>
      </c>
    </row>
    <row r="33" ht="21.75" customHeight="1" s="41">
      <c r="A33" s="44" t="inlineStr">
        <is>
          <t>C-05</t>
        </is>
      </c>
      <c r="B33" s="48" t="inlineStr">
        <is>
          <t>已处理</t>
        </is>
      </c>
      <c r="C33" s="44" t="inlineStr">
        <is>
          <t>P2</t>
        </is>
      </c>
      <c r="D33" s="46" t="inlineStr">
        <is>
          <t>会话</t>
        </is>
      </c>
      <c r="E33" s="46" t="inlineStr">
        <is>
          <t>角色主动发消息（未打开会话时找用户）</t>
        </is>
      </c>
      <c r="F33" s="46" t="inlineStr">
        <is>
          <t>现网角色只在用户于该会话（或群内触发）后才回复。主动开口写入已有私聊/群，从而给 C-03 真实未读。设计见 artifacts/AgentChat-主动互动设计备忘.md：全局慢采样 + 冲动阈值 + 每拍至多一人。不做已读回执；与 M-03 角色定时发动态分开。</t>
        </is>
      </c>
      <c r="G33" s="49" t="inlineStr">
        <is>
          <t>2026-09-17 用户验收通过：默认关、tick 可发一条、未打开有红点、点进可见主动气泡。第一刀仅私聊。</t>
        </is>
      </c>
      <c r="H33" s="44" t="inlineStr">
        <is>
          <t>2026-09-15</t>
        </is>
      </c>
      <c r="I33" s="50" t="n">
        <v>46282</v>
      </c>
      <c r="J33" s="44" t="inlineStr">
        <is>
          <t>76cec8e</t>
        </is>
      </c>
      <c r="K33" s="51" t="inlineStr">
        <is>
          <t>用户 2026-09-15 19:40 提出。C-03 验收因此偏难，属产品缺口不是红点实现失败。 2026-09-16 设计备忘已写。模型可走 Ollama 或 DeepSeek，不按 9b 封顶。好感度另字段调制阈值，不进本条预设，不提前做图谱。 2026-09-17 用户指定开 C-05，顺带给 C-03 真实未读。 2026-09-17 Bot 汇报 76cec8e。tick JSON 已记。 2026-09-17 用户截图确认：未打开会话时列表预览+红点；点进可见主动气泡。关单仍等 C-03 清红点收口。 2026-09-17 与 C-03 一并关单。 2026-10-10 清备注：对应功能已在远程，去掉过期未合入表述。</t>
        </is>
      </c>
      <c r="L33" s="40" t="inlineStr">
        <is>
          <t>已 push</t>
        </is>
      </c>
    </row>
    <row r="34" ht="21.75" customHeight="1" s="41">
      <c r="A34" s="44" t="inlineStr">
        <is>
          <t>B-06</t>
        </is>
      </c>
      <c r="B34" s="55" t="inlineStr">
        <is>
          <t>已处理</t>
        </is>
      </c>
      <c r="C34" s="44" t="inlineStr">
        <is>
          <t>P2</t>
        </is>
      </c>
      <c r="D34" s="46" t="inlineStr">
        <is>
          <t>消息</t>
        </is>
      </c>
      <c r="E34" s="46" t="inlineStr">
        <is>
          <t>语音体验：分男女音色、录音按钮、语音气泡</t>
        </is>
      </c>
      <c r="F34" s="47" t="inlineStr">
        <is>
          <t>2026-09-15 本机点收：1) TTS 未按角色男女分音色，全员同一把 CosyVoice 默认音；2) 输入区按住「松开」红按钮难看，和「发消息/发送」叠在一起；3) 语音消息（如「喂。」）仍是普通文本气泡外挂音符，应单独做成语音气泡。</t>
        </is>
      </c>
      <c r="G34" s="47" t="inlineStr">
        <is>
          <t>2026-09-15 本机验收通过：小春女声、林深/夜见男声、麦克图标按住录音、语音气泡可区分。commit e19d757。</t>
        </is>
      </c>
      <c r="H34" s="44" t="inlineStr">
        <is>
          <t>2026-09-15</t>
        </is>
      </c>
      <c r="I34" s="44" t="inlineStr">
        <is>
          <t>2026-09-15</t>
        </is>
      </c>
      <c r="J34" s="44" t="inlineStr">
        <is>
          <t>e19d757</t>
        </is>
      </c>
      <c r="K34" s="46" t="inlineStr">
        <is>
          <t>用户截图小春私聊 20:24。已拆给 GrokBot。 2026-09-15 20:39 Bot 汇报 e19d757，改待确认。 2026-09-15 20:48 用户验收关闭。 2026-10-10 清备注：对应功能已在远程，去掉过期未合入表述。</t>
        </is>
      </c>
      <c r="L34" s="40" t="inlineStr">
        <is>
          <t>已 push</t>
        </is>
      </c>
    </row>
    <row r="35" ht="21.75" customHeight="1" s="41">
      <c r="A35" s="44" t="inlineStr">
        <is>
          <t>B-07</t>
        </is>
      </c>
      <c r="B35" s="55" t="inlineStr">
        <is>
          <t>已处理</t>
        </is>
      </c>
      <c r="C35" s="44" t="inlineStr">
        <is>
          <t>P2</t>
        </is>
      </c>
      <c r="D35" s="46" t="inlineStr">
        <is>
          <t>消息</t>
        </is>
      </c>
      <c r="E35" s="46" t="inlineStr">
        <is>
          <t>角色按场景回语音气泡</t>
        </is>
      </c>
      <c r="F35" s="46" t="inlineStr">
        <is>
          <t>角色回复按场景用语音气泡：1) 用户本轮 source=voice；2) 用户打字里明确要求听/唱/语音回复（如「给我唱首歌」「说句话」「让我听听你的声音」）。其它打字仍回文本+♪。不自动外放；TTS 失败回退文本。</t>
        </is>
      </c>
      <c r="G35" s="47" t="inlineStr">
        <is>
          <t>2026-09-15 本机通过：说一句/用语音介绍 → 语音气泡；学学小猫叫（无请求词）→ 文本；用语音学猫叫 → 语音气泡。</t>
        </is>
      </c>
      <c r="H35" s="44" t="inlineStr">
        <is>
          <t>2026-09-15</t>
        </is>
      </c>
      <c r="I35" s="44" t="inlineStr">
        <is>
          <t>2026-09-15</t>
        </is>
      </c>
      <c r="J35" s="44" t="n"/>
      <c r="K35" s="46" t="inlineStr">
        <is>
          <t>用户 2026-09-15 20:50 提出。已拆给 GrokBot。 2026-09-15 20:52 用户补充：明确要求语音也可出气泡。 2026-09-15 21:08 用户截图验收关闭。 2026-10-10 清备注：对应功能已在远程，去掉过期未合入表述。</t>
        </is>
      </c>
      <c r="L35" s="40" t="inlineStr">
        <is>
          <t>已 push</t>
        </is>
      </c>
    </row>
    <row r="36" ht="21.75" customHeight="1" s="41">
      <c r="A36" s="44" t="inlineStr">
        <is>
          <t>M-06</t>
        </is>
      </c>
      <c r="B36" s="55" t="inlineStr">
        <is>
          <t>已处理</t>
        </is>
      </c>
      <c r="C36" s="44" t="inlineStr">
        <is>
          <t>P1</t>
        </is>
      </c>
      <c r="D36" s="46" t="inlineStr">
        <is>
          <t>朋友圈</t>
        </is>
      </c>
      <c r="E36" s="46" t="inlineStr">
        <is>
          <t>用户自己发一条空间动态</t>
        </is>
      </c>
      <c r="F36" s="46" t="inlineStr">
        <is>
          <t>现网只能「让 TA 发动态」。用户主页提示「动态目前由角色发布」。应能在主页或空间发一条自己的文字动态（可选一张图，复用上传）。赞评删沿用现逻辑。不做角色互评、不生图。</t>
        </is>
      </c>
      <c r="G36" s="47" t="inlineStr">
        <is>
          <t>2026-09-16 用户验收通过：可自己发空间动态（可附图）。角色回赞回评不在本条，见 M-07。</t>
        </is>
      </c>
      <c r="H36" s="44" t="inlineStr">
        <is>
          <t>2026-09-16</t>
        </is>
      </c>
      <c r="I36" s="44" t="inlineStr">
        <is>
          <t>2026-09-16</t>
        </is>
      </c>
      <c r="J36" s="44" t="inlineStr">
        <is>
          <t>7293da3</t>
        </is>
      </c>
      <c r="K36" s="46" t="inlineStr">
        <is>
          <t>用户 2026-09-16 指定：先 U-05 后半，再用户发动态。 已拆给 GrokBot。互动回赞回评另立 M-07 暂缓。 2026-09-16 夜交接：用户已说验收过，关单。未强制补 commit 哈希。 2026-09-16 远程 main 可见 7293da3。</t>
        </is>
      </c>
      <c r="L36" s="40" t="inlineStr">
        <is>
          <t>已 push</t>
        </is>
      </c>
    </row>
    <row r="37" ht="21.75" customHeight="1" s="41">
      <c r="A37" s="44" t="inlineStr">
        <is>
          <t>M-07</t>
        </is>
      </c>
      <c r="B37" s="55" t="inlineStr">
        <is>
          <t>已处理</t>
        </is>
      </c>
      <c r="C37" s="44" t="inlineStr">
        <is>
          <t>P2</t>
        </is>
      </c>
      <c r="D37" s="46" t="inlineStr">
        <is>
          <t>朋友圈</t>
        </is>
      </c>
      <c r="E37" s="46" t="inlineStr">
        <is>
          <t>用户发动态后，已导入角色可点赞/评论</t>
        </is>
      </c>
      <c r="F37" s="46" t="inlineStr">
        <is>
          <t>用户自己的动态出现后，已导入角色可按档位点赞或留一句短评。全场每拍仍至多一人动手；只反应用户动态，不做角色互评（M-02）。设计见 AgentChat-主动互动设计备忘.md。不改变 M-06 发动态主路径。</t>
        </is>
      </c>
      <c r="G37" s="46" t="inlineStr">
        <is>
          <t>角色可对用户动态点赞/短评；全场每拍至多一人。已上远程 676802c / 2981fa3（M-07b 日 cap 展示与赞头像）。续债：空间反应与私聊主动日 cap 解耦见 C-06（待用户点头）。</t>
        </is>
      </c>
      <c r="H37" s="44" t="inlineStr">
        <is>
          <t>2026-09-16</t>
        </is>
      </c>
      <c r="I37" s="85" t="n">
        <v>46282</v>
      </c>
      <c r="J37" s="44" t="inlineStr">
        <is>
          <t>676802c / 2981fa3</t>
        </is>
      </c>
      <c r="K37" s="46" t="inlineStr">
        <is>
          <t>用户 2026-09-16 提出。产品判断：先记录，不补进已发出的 M-06 包。 2026-09-16 与 C-05 共用主动互动备忘；出口不同，不合并开发包。 2026-10-10：表状态对齐远程——功能已上 2981fa3；续债见 C-06，勿再标暂缓。</t>
        </is>
      </c>
      <c r="L37" s="40" t="inlineStr">
        <is>
          <t>已 push</t>
        </is>
      </c>
    </row>
    <row r="38" ht="48" customHeight="1" s="41">
      <c r="A38" s="49" t="inlineStr">
        <is>
          <t>O-02</t>
        </is>
      </c>
      <c r="B38" s="56" t="inlineStr">
        <is>
          <t>已处理</t>
        </is>
      </c>
      <c r="C38" s="49" t="inlineStr">
        <is>
          <t>P2</t>
        </is>
      </c>
      <c r="D38" s="51" t="inlineStr">
        <is>
          <t>工程</t>
        </is>
      </c>
      <c r="E38" s="51" t="inlineStr">
        <is>
          <t>产品叙述去微信化（说明债 + 可见文案）</t>
        </is>
      </c>
      <c r="F38" s="51" t="inlineStr">
        <is>
          <t>根 README / package.json / docs 仍写「微信风格 MVP」；确认框仍有「朋友圈」；角色卡 system 串有「符合微信私聊语气」。现网壳已是 Agent Chat，左栏为消息/通讯录/空间。不改 wx-* 类名，不改 wechat.css 文件名。</t>
        </is>
      </c>
      <c r="G38" s="49" t="inlineStr">
        <is>
          <t>2026-09-16 本机通过，2026-09-17 远程 main HEAD a8ebcf9 已对齐。确认框「空间」；提示词熟人短讯；README/package.json 去微信风格。wechat.css / wx-* 未动。</t>
        </is>
      </c>
      <c r="H38" s="57" t="n">
        <v>46281</v>
      </c>
      <c r="I38" s="57" t="n">
        <v>46281</v>
      </c>
      <c r="J38" s="49" t="inlineStr">
        <is>
          <t>a8ebcf9</t>
        </is>
      </c>
      <c r="K38" s="49" t="inlineStr">
        <is>
          <t>2026-09-16 扫描只读清单已收。U-01 历史关单是「微信→酒馆」，现网标题已是 Agent Chat，本条不重开界面改名包。2026-09-16 问题表已更名为 AgentChat-问题记录.xlsx。 2026-09-16 Bot 汇报 a8ebcf9，ahead 1，docs/待优化点记录_一期.md 已改「未读红点/空间」但被 .gitignore（docs/*待优化点*.md）挡住，未进提交，本机磁盘已改。关单。 2026-09-16 对照 GitHub：main HEAD 7293da3（M-06），commit/a8ebcf9 为 404，O-02 文案尚未出现在远程 README/package.json/characterCard.ts。本地关单不变，远程未对齐。 2026-09-17 对照：main HEAD a8ebcf9，README/package.json 已去微信。远程对齐，维持已处理。 2026-10-10 清备注：对应功能已在远程，去掉过期未合入表述。</t>
        </is>
      </c>
      <c r="L38" s="40" t="inlineStr">
        <is>
          <t>已 push</t>
        </is>
      </c>
    </row>
    <row r="39" ht="48" customHeight="1" s="41">
      <c r="A39" s="49" t="inlineStr">
        <is>
          <t>R-02</t>
        </is>
      </c>
      <c r="B39" s="56" t="inlineStr">
        <is>
          <t>已处理</t>
        </is>
      </c>
      <c r="C39" s="49" t="inlineStr">
        <is>
          <t>P2</t>
        </is>
      </c>
      <c r="D39" s="51" t="inlineStr">
        <is>
          <t>角色</t>
        </is>
      </c>
      <c r="E39" s="51" t="inlineStr">
        <is>
          <t>角色私档（对话记忆第一刀）</t>
        </is>
      </c>
      <c r="F39" s="51" t="inlineStr">
        <is>
          <t>私聊目前只有近窗+人设，隔天不记得稳定事实。每角色一份可替代私档，异步提炼，注入私聊。不做向量库、好感度、图谱。</t>
        </is>
      </c>
      <c r="G39" s="49" t="inlineStr">
        <is>
          <t>2026-09-18 用户验证温水/唤君小林并推送 dc7cab1，本刀收口。冲突确认另立。</t>
        </is>
      </c>
      <c r="H39" s="57" t="n">
        <v>46283</v>
      </c>
      <c r="I39" s="57" t="n">
        <v>46283</v>
      </c>
      <c r="J39" s="49" t="inlineStr">
        <is>
          <t>dc7cab1</t>
        </is>
      </c>
      <c r="K39" s="51" t="inlineStr">
        <is>
          <t>用户确认先功能后换栈。注入函数按角色取 N 条。C-05 不改采样器。 2026-09-18 Bot 汇报。另有一条 habit「静坐片刻」像角色口吻，第一刀可记，不打回。 2026-09-18 用户截图：林深「喝点什么」回温水、小春出门/洗衣同分钟完成。指出时距太短，近窗与私档分不清。验收应再做「冲掉近窗」后再问。 2026-09-18 已上远程 main e3c7fa3。提炼：无私聊触发词，每轮助手成功回复后 setImmediate；ops:[] 则不写。 偏好被写成「晚上喝茶时喝温水」。habit 像角色口吻。 2026-09-18 评估：失效主因是抽取把「公子／唤我深／无需新增」写成用户偏好并 supersede 小林；次因是坏楼层压过注入。风险：sticky 解析名、模型偶发忽略、history 里仍有公子、启发式过滤换角色可能漏。 2026-09-18 远程 274e173..dc7cab1 已齐。</t>
        </is>
      </c>
      <c r="L39" s="40" t="inlineStr">
        <is>
          <t>已 push</t>
        </is>
      </c>
    </row>
    <row r="40" ht="39.75" customHeight="1" s="41">
      <c r="A40" s="49" t="inlineStr">
        <is>
          <t>U-07</t>
        </is>
      </c>
      <c r="B40" s="56" t="inlineStr">
        <is>
          <t>已处理</t>
        </is>
      </c>
      <c r="C40" s="49" t="inlineStr">
        <is>
          <t>P2</t>
        </is>
      </c>
      <c r="D40" s="51" t="inlineStr">
        <is>
          <t>界面</t>
        </is>
      </c>
      <c r="E40" s="51" t="inlineStr">
        <is>
          <t>私档写入弱提示</t>
        </is>
      </c>
      <c r="F40" s="49" t="inlineStr">
        <is>
          <t>R-02 提炼成功时，私聊顶栏短暂显示「记下了」并淡出。ops 为空不提示。不进消息流。</t>
        </is>
      </c>
      <c r="G40" s="49" t="inlineStr">
        <is>
          <t>2026-09-18 用户验收通过。改为聊天区右侧卡片：标题「记下了」+ 摘要（最多3条分号拼接），约10秒淡入淡出。不进消息流。本地 274e173 已上远程 274e173。</t>
        </is>
      </c>
      <c r="H40" s="57" t="n">
        <v>46283</v>
      </c>
      <c r="I40" s="57" t="n">
        <v>46283</v>
      </c>
      <c r="J40" s="49" t="inlineStr">
        <is>
          <t>274e173</t>
        </is>
      </c>
      <c r="K40" s="51" t="inlineStr">
        <is>
          <t>刷新进房第一次 GET 只建快照不提示。 2026-09-18 偏离原顶栏小字，按用户设计收口。需重启后端（新表字段）+ 硬刷新。 2026-09-18 远程 main HEAD 274e173。卡片约10s；前端 3–90s 阶梯轮询 notices。慢主要在第二次 LLM 提炼。 2026-10-10 清备注：对应功能已在远程，去掉过期未合入表述。</t>
        </is>
      </c>
      <c r="L40" s="40" t="inlineStr">
        <is>
          <t>已 push</t>
        </is>
      </c>
    </row>
    <row r="41" ht="39.75" customHeight="1" s="41">
      <c r="A41" s="49" t="inlineStr">
        <is>
          <t>R-04</t>
        </is>
      </c>
      <c r="B41" s="58" t="inlineStr">
        <is>
          <t>暂缓</t>
        </is>
      </c>
      <c r="C41" s="49" t="inlineStr">
        <is>
          <t>P3</t>
        </is>
      </c>
      <c r="D41" s="51" t="inlineStr">
        <is>
          <t>角色</t>
        </is>
      </c>
      <c r="E41" s="51" t="inlineStr">
        <is>
          <t>对话走云端、提炼走本机（分模型）</t>
        </is>
      </c>
      <c r="F41" s="51" t="inlineStr">
        <is>
          <t>气泡可用 DeepSeek 等；extract 用本机 Ollama。MEMORY_LLM_* 空则回退 LLM_*。不换运行时。</t>
        </is>
      </c>
      <c r="G41" s="49" t="inlineStr">
        <is>
          <t>2026-09-18 用户确认只记改进点，不拆包。见记忆备忘「后续改进」。</t>
        </is>
      </c>
      <c r="H41" s="57" t="n">
        <v>46283</v>
      </c>
      <c r="I41" s="49" t="n"/>
      <c r="J41" s="49" t="n"/>
      <c r="K41" s="51" t="inlineStr">
        <is>
          <t>触发：用户明确要对话/提炼分通道后再开正式刀。 R-04x 尖兵 575967c 已完（夹具报告+默认 off）；不强开真 Laya。 先做 R-02 注入必答补丁（已关）。 2026-10-10：二期定为 P3。</t>
        </is>
      </c>
      <c r="L41" s="40" t="inlineStr">
        <is>
          <t>不适用</t>
        </is>
      </c>
    </row>
    <row r="42" ht="79.5" customHeight="1" s="41">
      <c r="A42" s="59" t="inlineStr">
        <is>
          <t>R-06</t>
        </is>
      </c>
      <c r="B42" s="60" t="inlineStr">
        <is>
          <t>已处理</t>
        </is>
      </c>
      <c r="C42" s="59" t="inlineStr">
        <is>
          <t>P1</t>
        </is>
      </c>
      <c r="D42" s="61" t="inlineStr">
        <is>
          <t>角色</t>
        </is>
      </c>
      <c r="E42" s="61" t="inlineStr">
        <is>
          <t>私档注入过召回（honor/sticky 门控）</t>
        </is>
      </c>
      <c r="F42" s="61" t="inlineStr">
        <is>
          <t>同一套 R-02 管线：林深闲聊（1/2/表情/走）几乎每句先背「唤君小林＋温水＋竹风」；小春按话题引用正常。根因是 memoryStickyReminder 在有称呼/饮品/约定时每轮钉在 history 后，且文案写「先短答记忆点，再写其他」，未按本轮是否在问记忆做门控。honor 虽写「问到才答」，被 sticky 盖过。不是两套系统，也不是库又写脏。</t>
        </is>
      </c>
      <c r="G42" s="59" t="inlineStr">
        <is>
          <t>2026-09-20 用户验收关闭。978ef23：honor 问到才答；sticky 按问记忆或近窗冲突才钉；过召回刹车。闲聊不背清单；口渴才用温水；被问记忆才列。夜见温水非串档，归 R-05。</t>
        </is>
      </c>
      <c r="H42" s="62" t="n">
        <v>46283</v>
      </c>
      <c r="I42" s="62" t="n">
        <v>46285</v>
      </c>
      <c r="J42" s="59" t="inlineStr">
        <is>
          <t>978ef23</t>
        </is>
      </c>
      <c r="K42" s="61" t="inlineStr">
        <is>
          <t>对照 dc7cab1..978ef23。用记忆回复仍主要靠提示词（honor/sticky/【你记得的事】），无回复后处理。写路径另见 R-05。2026-09-20 关单。 2026-09-20 续刀 R-06b 已上远程 8dbde43：口渴／想喝等场景门控用饮品记忆，勿另编山泉茶。未单独立项。</t>
        </is>
      </c>
      <c r="L42" s="40" t="inlineStr">
        <is>
          <t>已 push</t>
        </is>
      </c>
    </row>
    <row r="43" ht="87.75" customHeight="1" s="41">
      <c r="A43" s="59" t="inlineStr">
        <is>
          <t>R-05</t>
        </is>
      </c>
      <c r="B43" s="63" t="inlineStr">
        <is>
          <t>已处理</t>
        </is>
      </c>
      <c r="C43" s="59" t="inlineStr">
        <is>
          <t>P2</t>
        </is>
      </c>
      <c r="D43" s="61" t="inlineStr">
        <is>
          <t>角色</t>
        </is>
      </c>
      <c r="E43" s="61" t="inlineStr">
        <is>
          <t>记忆冲突确认（pending + 问一句）</t>
        </is>
      </c>
      <c r="F43" s="61" t="inlineStr">
        <is>
          <t>抽取曾把「公子／唤我深／元话语」写成用户偏好并 supersede「小林」。另：助手先提议的饮品／称呼（夜见劝喝温水、一直叫小林）会被抽成用户偏好；「你叫我什么」类追问勿改称呼。filterExtractOps 已挡一部分，冲突仍自动盖。产品方向：冲突先 pending，角色问一句或出卡片，用户确认后再 active；source=memory_confirm 不进提炼；不绑 C-05。助手提议未获用户明确认领的，不要写成用户偏好。</t>
        </is>
      </c>
      <c r="G43" s="64" t="inlineStr">
        <is>
          <t>第一刀远程 ab112be（未认领不入库）。第二刀 f8f0084：冲突 pending + memory_confirm 问一句；2026-09-20 群聊点收并通过 push，远程 tip f8f0084。</t>
        </is>
      </c>
      <c r="H43" s="62" t="inlineStr">
        <is>
          <t>a2be134</t>
        </is>
      </c>
      <c r="I43" s="65" t="n">
        <v>46285</v>
      </c>
      <c r="J43" s="59" t="inlineStr">
        <is>
          <t>ab112be / f8f0084（已上远程）</t>
        </is>
      </c>
      <c r="K43" s="59" t="inlineStr">
        <is>
          <t>2026-09-20 第二刀待用户点收。未改 R-06/U-07/C-05/表结构。禁止代 push。 2026-09-20 用户群聊点收第二刀；编码Bot 待 push f8f0084。 2026-09-20 编码Bot 已 push ab112be..f8f0084，远程 tip=f8f0084。</t>
        </is>
      </c>
      <c r="L43" s="40" t="inlineStr">
        <is>
          <t>a2be134</t>
        </is>
      </c>
    </row>
    <row r="44" ht="43.5" customHeight="1" s="41">
      <c r="A44" s="40" t="inlineStr">
        <is>
          <t>R-04x</t>
        </is>
      </c>
      <c r="B44" s="40" t="inlineStr">
        <is>
          <t>已处理</t>
        </is>
      </c>
      <c r="C44" s="40" t="inlineStr">
        <is>
          <t>P3</t>
        </is>
      </c>
      <c r="D44" s="40" t="inlineStr">
        <is>
          <t>角色</t>
        </is>
      </c>
      <c r="E44" s="40" t="inlineStr">
        <is>
          <t>Laya 本机记忆门控尖兵</t>
        </is>
      </c>
      <c r="F44" s="40" t="inlineStr">
        <is>
          <t>用开源决策模型做写/不写门控评测；默认不进生产。</t>
        </is>
      </c>
      <c r="G44" s="40" t="inlineStr">
        <is>
          <t>夹具24条启发式约95.8%；MEMORY_GATE_BACKEND 默认 off；Laya 本机已装。2026-10-09 点收并随 575967c push。</t>
        </is>
      </c>
      <c r="H44" s="83" t="n">
        <v>46286</v>
      </c>
      <c r="I44" s="83" t="n">
        <v>46304</v>
      </c>
      <c r="J44" s="40" t="inlineStr">
        <is>
          <t>575967c</t>
        </is>
      </c>
      <c r="K44" s="40" t="inlineStr">
        <is>
          <t>不强开真 Laya；正式分模型仍见 R-04。</t>
        </is>
      </c>
      <c r="L44" s="40" t="inlineStr">
        <is>
          <t>已 push</t>
        </is>
      </c>
    </row>
    <row r="45" ht="15" customHeight="1" s="41">
      <c r="A45" s="40" t="inlineStr">
        <is>
          <t>C-06</t>
        </is>
      </c>
      <c r="B45" s="40" t="inlineStr">
        <is>
          <t>已处理</t>
        </is>
      </c>
      <c r="C45" s="40" t="inlineStr">
        <is>
          <t>P2</t>
        </is>
      </c>
      <c r="D45" s="40" t="inlineStr">
        <is>
          <t>会话</t>
        </is>
      </c>
      <c r="E45" s="40" t="inlineStr">
        <is>
          <t>空间赞评与私聊主动日 cap 解耦</t>
        </is>
      </c>
      <c r="F45" s="40" t="inlineStr">
        <is>
          <t>sent_today 满后 M-07 空间结算被 daily_cap 跳过，用户发动态无角色赞评。</t>
        </is>
      </c>
      <c r="G45" s="40" t="inlineStr">
        <is>
          <t>空间结算不再因 sent_today&gt;=daily_cap 跳过；私聊主动仍受日 cap；总开关关两边都停。2026-10-10 代验通过，已在远程 57e92bc。</t>
        </is>
      </c>
      <c r="H45" s="83" t="n">
        <v>46305</v>
      </c>
      <c r="I45" s="83" t="n">
        <v>46305</v>
      </c>
      <c r="J45" s="40" t="inlineStr">
        <is>
          <t>57e92bc</t>
        </is>
      </c>
      <c r="K45" s="40" t="inlineStr">
        <is>
          <t>2026-10-10 点收并已在 origin。 2026-10-10 ARCH-1：功能池登记 D-04（M-01 仍吃私聊 daily_cap，与 C-06 后 M-07 空间不受 cap 不一致）→ 与 C-06 同组 P2，不进 ARCH-2/3。详见 docs/product/ARCH-1-债清单.md。 2026-10-13：D-04 已关（M-01 对齐不再吃 daily_cap）。</t>
        </is>
      </c>
      <c r="L45" s="40" t="inlineStr">
        <is>
          <t>已 push</t>
        </is>
      </c>
    </row>
    <row r="46" ht="15" customHeight="1" s="41">
      <c r="A46" s="86" t="inlineStr">
        <is>
          <t>N-01</t>
        </is>
      </c>
      <c r="B46" s="86" t="inlineStr">
        <is>
          <t>暂缓</t>
        </is>
      </c>
      <c r="C46" s="86" t="inlineStr">
        <is>
          <t>P2</t>
        </is>
      </c>
      <c r="D46" s="86" t="inlineStr">
        <is>
          <t>工程</t>
        </is>
      </c>
      <c r="E46" s="86" t="inlineStr">
        <is>
          <t>生图素材库 + 检索决策 + 生成入库</t>
        </is>
      </c>
      <c r="F46" s="86" t="inlineStr">
        <is>
          <t>规划占位：建生图素材库，检索决策后再生成并入库复用。</t>
        </is>
      </c>
      <c r="G46" s="86" t="inlineStr">
        <is>
          <t>明确暂缓，先占位不拆包。</t>
        </is>
      </c>
      <c r="H46" s="87" t="n">
        <v>46305</v>
      </c>
      <c r="I46" s="86" t="n"/>
      <c r="J46" s="86" t="n"/>
      <c r="K46" s="86" t="inlineStr">
        <is>
          <t>来源：用户 2026-10-10 规划占位。触发：B-04 生图稳定且用户要素材复用/成本闸门后再开。</t>
        </is>
      </c>
      <c r="L46" s="86" t="inlineStr">
        <is>
          <t>不适用</t>
        </is>
      </c>
    </row>
    <row r="47" ht="15" customHeight="1" s="41">
      <c r="A47" s="86" t="inlineStr">
        <is>
          <t>N-02</t>
        </is>
      </c>
      <c r="B47" s="86" t="inlineStr">
        <is>
          <t>暂缓</t>
        </is>
      </c>
      <c r="C47" s="86" t="inlineStr">
        <is>
          <t>P2</t>
        </is>
      </c>
      <c r="D47" s="86" t="inlineStr">
        <is>
          <t>工程</t>
        </is>
      </c>
      <c r="E47" s="86" t="inlineStr">
        <is>
          <t>动态模型路由（Nano Banana / GPT Image / Qwen）</t>
        </is>
      </c>
      <c r="F47" s="86" t="inlineStr">
        <is>
          <t>规划占位：按场景在多生图/多模态模型间动态路由。</t>
        </is>
      </c>
      <c r="G47" s="86" t="inlineStr">
        <is>
          <t>明确暂缓，先占位不拆包。</t>
        </is>
      </c>
      <c r="H47" s="87" t="n">
        <v>46305</v>
      </c>
      <c r="I47" s="86" t="n"/>
      <c r="J47" s="86" t="n"/>
      <c r="K47" s="86" t="inlineStr">
        <is>
          <t>来源：用户 2026-10-10 规划占位。触发：用户选定多模型供应商与路由规则后再开。 2026-10-10：提前至二期中后段；与 ARCH-2 共挂 API 试跑线（本地/硅基/官方；DeepSeek 文本、官方 VLM、Gemini TTS）。 2026-10-11 试跑线仍不动。 2026-10-13：仍暂缓，不发明工作。</t>
        </is>
      </c>
      <c r="L47" s="86" t="inlineStr">
        <is>
          <t>不适用</t>
        </is>
      </c>
    </row>
    <row r="48" ht="15" customHeight="1" s="41">
      <c r="A48" s="86" t="inlineStr">
        <is>
          <t>N-03</t>
        </is>
      </c>
      <c r="B48" s="86" t="inlineStr">
        <is>
          <t>暂缓</t>
        </is>
      </c>
      <c r="C48" s="86" t="inlineStr">
        <is>
          <t>P2</t>
        </is>
      </c>
      <c r="D48" s="86" t="inlineStr">
        <is>
          <t>工程</t>
        </is>
      </c>
      <c r="E48" s="86" t="inlineStr">
        <is>
          <t>账单统计（按模型/功能/复用 vs 生成）</t>
        </is>
      </c>
      <c r="F48" s="86" t="inlineStr">
        <is>
          <t>规划占位：按模型、功能、素材复用 vs 新生成统计用量与费用。</t>
        </is>
      </c>
      <c r="G48" s="86" t="inlineStr">
        <is>
          <t>明确暂缓，先占位不拆包。</t>
        </is>
      </c>
      <c r="H48" s="87" t="n">
        <v>46305</v>
      </c>
      <c r="I48" s="86" t="n"/>
      <c r="J48" s="86" t="n"/>
      <c r="K48" s="86" t="inlineStr">
        <is>
          <t>来源：用户 2026-10-10 规划占位。触发：生图/多模型正式启用且用户要看账单后再开。</t>
        </is>
      </c>
      <c r="L48" s="86" t="inlineStr">
        <is>
          <t>不适用</t>
        </is>
      </c>
    </row>
    <row r="49" ht="15" customHeight="1" s="41">
      <c r="A49" s="40" t="inlineStr">
        <is>
          <t>M-05a</t>
        </is>
      </c>
      <c r="B49" s="40" t="inlineStr">
        <is>
          <t>已处理</t>
        </is>
      </c>
      <c r="C49" s="40" t="inlineStr">
        <is>
          <t>P1</t>
        </is>
      </c>
      <c r="D49" s="40" t="inlineStr">
        <is>
          <t>朋友圈</t>
        </is>
      </c>
      <c r="E49" s="40" t="inlineStr">
        <is>
          <t>动态配图第一刀：仅上传</t>
        </is>
      </c>
      <c r="F49" s="40" t="inlineStr">
        <is>
          <t>发动态可附一张上传图进时间线；不接生图。</t>
        </is>
      </c>
      <c r="G49" s="40" t="inlineStr">
        <is>
          <t>能力已由 M-06（7293da3）交付：发动态可选附一张上传图（multipart + image_path 时间线展示）；不接生图。2026-10-10 gap 审计确认前后端齐全，本刀仅文档收口。 2026-10-10 17:12 CST 补验：空间发带图动态，图正常上墙（multipart→image_path 回写+可取）。</t>
        </is>
      </c>
      <c r="H49" s="83" t="n">
        <v>46305</v>
      </c>
      <c r="I49" s="88" t="n">
        <v>46305</v>
      </c>
      <c r="J49" s="40" t="inlineStr">
        <is>
          <t>7293da3（能力）/ c220bbf+eb48fbb+83e9ab6（docs）</t>
        </is>
      </c>
      <c r="K49" s="40" t="inlineStr">
        <is>
          <t>二期前四刀第2：ARCH-1 后。 2026-10-10 BF gap：composer/createMyMoment/POST /api/moments multipart/时间线 image_path 均已在；角色 /generate 仍 image_path=NULL（产品备注：无生图时给角色配用户相册图不成立）。由 M-06 覆盖，本刀不改业务代码。 2026-10-10 17:12 CST 实际验证：curl/urllib multipart POST /api/moments（content+file=既有 uploads/chat-img-*.png），返回 200，image_path=/uploads/moment-3fae9f50-aa89-45c9-9beb-dc89fc5d6695.png；GET /api/moments 顶条即该动态；图 URL HTTP 200（184B）。结论：空间发带图动态，图正常上墙。</t>
        </is>
      </c>
      <c r="L49" s="40" t="inlineStr">
        <is>
          <t>已 push（能力 7293da3；docs tip 83e9ab6）</t>
        </is>
      </c>
    </row>
    <row r="50" ht="15" customHeight="1" s="41">
      <c r="A50" s="40" t="inlineStr">
        <is>
          <t>M-05b</t>
        </is>
      </c>
      <c r="B50" s="40" t="inlineStr">
        <is>
          <t>已处理</t>
        </is>
      </c>
      <c r="C50" s="40" t="inlineStr">
        <is>
          <t>P2</t>
        </is>
      </c>
      <c r="D50" s="40" t="inlineStr">
        <is>
          <t>朋友圈</t>
        </is>
      </c>
      <c r="E50" s="40" t="inlineStr">
        <is>
          <t>动态配图含生图</t>
        </is>
      </c>
      <c r="F50" s="40" t="inlineStr">
        <is>
          <t>动态配图可走生图；先复用 B-04B，不绑 N-01 素材库。</t>
        </is>
      </c>
      <c r="H50" s="83" t="n">
        <v>46309</v>
      </c>
      <c r="I50" s="83" t="n">
        <v>46309</v>
      </c>
      <c r="J50" s="40" t="inlineStr">
        <is>
          <t>78d4e38</t>
        </is>
      </c>
      <c r="K50" s="40" t="inlineStr">
        <is>
          <t>已关：让TA发动态走 Kolors/IMAGE_GEN，图落 uploads，image_path 可非空；闸门 moment_image_enabled 默认关、moment_image_daily_cap 默认1可调0–3；关/达上限仍发纯文；配置挂 proactive（user_profile proactive_moment_image_*）；用户发帖仍上传；不绑 N-01；日上限落点=当日 character+image_path 动态计数。</t>
        </is>
      </c>
      <c r="L50" s="40" t="inlineStr">
        <is>
          <t>已 push</t>
        </is>
      </c>
    </row>
    <row r="51" ht="15" customHeight="1" s="41">
      <c r="A51" s="40" t="inlineStr">
        <is>
          <t>X-01</t>
        </is>
      </c>
      <c r="B51" s="40" t="inlineStr">
        <is>
          <t>已处理</t>
        </is>
      </c>
      <c r="C51" s="40" t="inlineStr">
        <is>
          <t>P1</t>
        </is>
      </c>
      <c r="D51" s="40" t="inlineStr">
        <is>
          <t>角色</t>
        </is>
      </c>
      <c r="E51" s="40" t="inlineStr">
        <is>
          <t>人设编辑</t>
        </is>
      </c>
      <c r="F51" s="40" t="inlineStr">
        <is>
          <t>导入后可在客户端编辑人设字段并保存，无需整卡覆盖导入。</t>
        </is>
      </c>
      <c r="G51" s="40" t="inlineStr">
        <is>
          <t>导入后可在客户端字段级编辑并 PATCH 保存，无需整卡覆盖导入；聊天记录保留。2026-10-10 17:22 CST 三条验证通过后关单：PATCH↔GET 一致；私聊仍用人设（buildSystemPrompt 读库新字段）；通讯录⋯/角色主页「编辑人设」入口可达（API 级开保存 + UI 接线核对）。</t>
        </is>
      </c>
      <c r="H51" s="83" t="n">
        <v>46305</v>
      </c>
      <c r="I51" s="88" t="n">
        <v>46305</v>
      </c>
      <c r="J51" s="40" t="inlineStr">
        <is>
          <t>0fce6d8</t>
        </is>
      </c>
      <c r="K51" s="40" t="inlineStr">
        <is>
          <t>二期前四刀第3。 2026-10-10 X-01：后端 GET/PATCH `/api/characters/:id`（name/description/personality/scenario/first_mes/mes_example/system_prompt/post_history_instructions）；前端通讯录/角色主页「编辑人设」表单；不改 avatar、不做 X-02；保存后聊天记录保留；buildSystemPrompt 读库新值。自测 PATCH→GET 通过；web build 顺带修清 clearWhisperTimers / unread 空值。 远程 tip ae4120d（2026-10-10 push）。 2026-10-10 17:22 CST 三条验证关单：1) PATCH description/personality 后 GET 一致，已还原原值；2) 私聊 POST /api/conversations/:id/messages HTTP 200（苏姐），未炸；成员 JOIN characters ch.* → buildSystemPrompt 读 description/personality（characterCard.ts），PATCH 后新字段入提示；3) UI 入口：App.vue 通讯录⋯与角色主页「编辑人设」→ openPersonaEditor/savePersonaEditor→api.updateCharacter；验证方式为 API 级（GET+PATCH 开保存）+ 静态 UI 接线核对（未点浏览器）。 远程 tip cac031c（2026-10-10 17:23 CST push）。 2026-10-10 20:30 CST 哈希对齐：最终 tip 定为 0fce6d8（能力 ae4120d → tip对齐 9d5bde4 → 三条验证关单 cac031c → tip对齐 0fce6d8）；本地/远程 commit 列统一为 0fce6d8。</t>
        </is>
      </c>
      <c r="L51" s="40" t="inlineStr">
        <is>
          <t>a2be134</t>
        </is>
      </c>
    </row>
    <row r="52">
      <c r="A52" s="40" t="inlineStr">
        <is>
          <t>X-02</t>
        </is>
      </c>
      <c r="B52" s="40" t="inlineStr">
        <is>
          <t>已处理</t>
        </is>
      </c>
      <c r="C52" s="40" t="inlineStr">
        <is>
          <t>P2</t>
        </is>
      </c>
      <c r="D52" s="40" t="inlineStr">
        <is>
          <t>角色</t>
        </is>
      </c>
      <c r="E52" s="40" t="inlineStr">
        <is>
          <t>人设参考图</t>
        </is>
      </c>
      <c r="F52" s="40" t="inlineStr">
        <is>
          <t>人设可附参考图供读图/生图对齐画风。</t>
        </is>
      </c>
      <c r="H52" s="83" t="n">
        <v>46305</v>
      </c>
      <c r="I52" s="83" t="n">
        <v>46308</v>
      </c>
      <c r="J52" s="40" t="inlineStr">
        <is>
          <t>6eed178</t>
        </is>
      </c>
      <c r="K52" s="40" t="inlineStr">
        <is>
          <t>已关 tip 6eed178（云测+产品验收通过）：uploads+path、1～3 张、超限人话拒、头像/封面/气泡未动。App.vue=1655 行。</t>
        </is>
      </c>
      <c r="L52" s="40" t="inlineStr">
        <is>
          <t>已 push</t>
        </is>
      </c>
    </row>
    <row r="53">
      <c r="A53" s="40" t="inlineStr">
        <is>
          <t>X-03</t>
        </is>
      </c>
      <c r="B53" s="40" t="inlineStr">
        <is>
          <t>已处理</t>
        </is>
      </c>
      <c r="C53" s="40" t="inlineStr">
        <is>
          <t>P2</t>
        </is>
      </c>
      <c r="D53" s="40" t="inlineStr">
        <is>
          <t>界面</t>
        </is>
      </c>
      <c r="E53" s="40" t="inlineStr">
        <is>
          <t>daily_cap / 静默时段可调</t>
        </is>
      </c>
      <c r="F53" s="40" t="inlineStr">
        <is>
          <t>主页现仅展示主动日 cap；需可改 daily_cap 与静默起止。</t>
        </is>
      </c>
      <c r="G53" s="40" t="inlineStr">
        <is>
          <t>2026-10-13 BF：主页可调每日主动上限（1–8）与静默起止（time input，可跨午夜）。PATCH /api/proactive 已有；tick 本就尊重 daily_cap/quiet。默认 cap=3、23:00–08:00。</t>
        </is>
      </c>
      <c r="H53" s="83" t="n">
        <v>46305</v>
      </c>
      <c r="I53" s="88" t="n">
        <v>46308</v>
      </c>
      <c r="J53" s="40" t="inlineStr">
        <is>
          <t>3418a6b</t>
        </is>
      </c>
      <c r="K53" s="40" t="inlineStr">
        <is>
          <t>二期可选。 2026-10-13 关单。与 C-06/D-04 同组主动线；N-02/Gemini/X05-D3～D6 不动。 App.vue 仅模板+接线，逻辑在 useProactiveSettings。；参数已定（2026-10-14）：MEMORY_PENDING_TTL_DAYS=7；静默 23:00–08:00；X-07 赞2/评1；群聊「2静1开」一并已定。已从表摘「待明确」。</t>
        </is>
      </c>
      <c r="L53" s="40" t="inlineStr">
        <is>
          <t>已 push（tip 3418a6b）</t>
        </is>
      </c>
    </row>
    <row r="54">
      <c r="A54" s="40" t="inlineStr">
        <is>
          <t>X-04</t>
        </is>
      </c>
      <c r="B54" s="40" t="inlineStr">
        <is>
          <t>已处理</t>
        </is>
      </c>
      <c r="C54" s="40" t="inlineStr">
        <is>
          <t>P2</t>
        </is>
      </c>
      <c r="D54" s="40" t="inlineStr">
        <is>
          <t>群聊</t>
        </is>
      </c>
      <c r="E54" s="40" t="inlineStr">
        <is>
          <t>群聊轮询抢话体验</t>
        </is>
      </c>
      <c r="F54" s="40" t="inlineStr">
        <is>
          <t>未 @ 时轮询发言观感抢话/不自然。</t>
        </is>
      </c>
      <c r="H54" s="83" t="n">
        <v>46305</v>
      </c>
      <c r="I54" s="83" t="n">
        <v>46308</v>
      </c>
      <c r="J54" s="40" t="inlineStr">
        <is>
          <t>3f9f54b</t>
        </is>
      </c>
      <c r="K54" s="40" t="inlineStr">
        <is>
          <t>已关 tip 3f9f54b；X-04 后 App.vue=1620 行。产品参数已定：TTL 7 天、静默 23:00–08:00、2 静 1 开（硬编码可跑，改数另开刀）。；参数已定（2026-10-14）：MEMORY_PENDING_TTL_DAYS=7；静默 23:00–08:00；X-07 赞2/评1；群聊「2静1开」一并已定。已从表摘「待明确」。</t>
        </is>
      </c>
      <c r="L54" s="40" t="inlineStr">
        <is>
          <t>已 push</t>
        </is>
      </c>
    </row>
    <row r="55">
      <c r="A55" s="40" t="inlineStr">
        <is>
          <t>X-05</t>
        </is>
      </c>
      <c r="B55" s="40" t="inlineStr">
        <is>
          <t>部分收口</t>
        </is>
      </c>
      <c r="C55" s="40" t="inlineStr">
        <is>
          <t>P1</t>
        </is>
      </c>
      <c r="D55" s="40" t="inlineStr">
        <is>
          <t>角色</t>
        </is>
      </c>
      <c r="E55" s="40" t="inlineStr">
        <is>
          <t>记忆体验债复盘</t>
        </is>
      </c>
      <c r="F55" s="40" t="inlineStr">
        <is>
          <t>在 R-05/R-06 已关上复盘体验债（过召回/冲突确认边角）。</t>
        </is>
      </c>
      <c r="G55" s="40" t="inlineStr">
        <is>
          <t>部分收口。复盘过召回/冲突确认；小修 F1–F3；**X05-D1 快捷按钮已关（2026-10-13）**。续债 D2–D6 见 docs/product/X-05-记忆体验债复盘.md。App.vue 仅 D1 chips 模板+helper。</t>
        </is>
      </c>
      <c r="H55" s="83" t="n">
        <v>46305</v>
      </c>
      <c r="I55" s="88" t="n"/>
      <c r="J55" s="40" t="inlineStr">
        <is>
          <t>affbbde / tip c9be373</t>
        </is>
      </c>
      <c r="K55" s="40" t="inlineStr">
        <is>
          <t>依赖 R-05/R-06 已交付。 2026-10-11 复盘+小修 F1/F2/F3。口径=部分收口。续债：D1确认按钮(P1)/D2 pending TTL/D3确认晚到/D4过召回后处理/D5失败无感(D-05)/D6=D-24。N-02/Gemini未动。 2026-10-11 收尾对齐：状态=部分收口（非已处理）；功能 tip affbbde；文档 tip c9be373；续债 X05-D1 待处理；过召回靠提示词不拆包；明天第一刀 X05-D1。 2026-10-13：X05-D1 已处理（BF）。续债从 D2 起；下一刀可 D-02b。 2026-10-13：X05-D1 本次新做已关；D-02b 已关；DeepSeek 官方已通；续债仅 D2–D6 待拍板。Gemini/N-02 不动。 2026-10-13：X05-D2+D5 同刀已关；D3/D4 延期；D6 维持 off。</t>
        </is>
      </c>
      <c r="L55" s="40" t="inlineStr">
        <is>
          <t>已 push（tip c9be373）</t>
        </is>
      </c>
    </row>
    <row r="56">
      <c r="A56" s="40" t="inlineStr">
        <is>
          <t>X-06</t>
        </is>
      </c>
      <c r="B56" s="40" t="inlineStr">
        <is>
          <t>已处理</t>
        </is>
      </c>
      <c r="C56" s="40" t="inlineStr">
        <is>
          <t>P2</t>
        </is>
      </c>
      <c r="D56" s="40" t="inlineStr">
        <is>
          <t>消息</t>
        </is>
      </c>
      <c r="E56" s="40" t="inlineStr">
        <is>
          <t>语音交互体验</t>
        </is>
      </c>
      <c r="F56" s="40" t="inlineStr">
        <is>
          <t>语音交互流程体验债（非波形视觉）。</t>
        </is>
      </c>
      <c r="G56" s="40" t="inlineStr">
        <is>
          <t>2026-10-11 HY：X-06 选 A。新建 useTtsPlayback：迁出 ttsPlayingId/ttsLoadingId/playTts；三态 + progressRatio（audio.currentTime/duration）；App 只渲染。UI-4 假进度在 playing 时改为 --tts-progress 真进度；loading 仍 CSS indeterminate。useHoldToTalk 未改（取消手势已在 App pointer 层，无缺口）。不做 seek；未碰 UI-5/UI-6/N-02/Gemini。App.vue 行数 2422→2395（−27）。web build 过。</t>
        </is>
      </c>
      <c r="H56" s="83" t="n">
        <v>46305</v>
      </c>
      <c r="I56" s="88" t="n">
        <v>46308</v>
      </c>
      <c r="J56" s="40" t="inlineStr">
        <is>
          <t>c0b46e1</t>
        </is>
      </c>
      <c r="K56" s="40" t="inlineStr">
        <is>
          <t>随 UI-4 收口：tip c0b46e1（语音气泡 play/pause/loading + 进度）；后续 X-06 useTtsPlayback 真进度 tip 838d3eb 已在主线。</t>
        </is>
      </c>
      <c r="L56" s="40" t="inlineStr">
        <is>
          <t>已 push</t>
        </is>
      </c>
    </row>
    <row r="57">
      <c r="A57" s="40" t="inlineStr">
        <is>
          <t>X-07</t>
        </is>
      </c>
      <c r="B57" s="40" t="inlineStr">
        <is>
          <t>已处理</t>
        </is>
      </c>
      <c r="C57" s="40" t="inlineStr">
        <is>
          <t>P2</t>
        </is>
      </c>
      <c r="D57" s="40" t="inlineStr">
        <is>
          <t>朋友圈</t>
        </is>
      </c>
      <c r="E57" s="40" t="inlineStr">
        <is>
          <t>朋友圈互动频率可调</t>
        </is>
      </c>
      <c r="F57" s="40" t="inlineStr">
        <is>
          <t>赞评频率需产品可调项（先定可调参数再开发）。</t>
        </is>
      </c>
      <c r="G57" s="40" t="inlineStr">
        <is>
          <t>2026-10-13 BF：先定可调项=空间赞上限 space_like_max(0–3,默认2)、空间评上限 space_comment_max(0–1,默认1)；主页可改；PATCH /api/proactive；M-07 settle 尊重。与私聊 daily_cap 解耦。</t>
        </is>
      </c>
      <c r="H57" s="83" t="n">
        <v>46305</v>
      </c>
      <c r="I57" s="88" t="n">
        <v>46308</v>
      </c>
      <c r="J57" s="40" t="inlineStr">
        <is>
          <t>eb0bb54</t>
        </is>
      </c>
      <c r="K57" s="40" t="inlineStr">
        <is>
          <t>功能已关 tip eb0bb54（feat 710bce9）；空间赞/评上限可调，不碰 daily_cap/总开关。参数已定：赞/评上限数值（与 TTL/静默同挂）。；参数已定（2026-10-14）：MEMORY_PENDING_TTL_DAYS=7；静默 23:00–08:00；X-07 赞2/评1；群聊「2静1开」一并已定。已从表摘「待明确」。</t>
        </is>
      </c>
      <c r="L57" s="40" t="inlineStr">
        <is>
          <t>已 push</t>
        </is>
      </c>
    </row>
    <row r="58">
      <c r="A58" s="40" t="inlineStr">
        <is>
          <t>ARCH-1</t>
        </is>
      </c>
      <c r="B58" s="40" t="inlineStr">
        <is>
          <t>已处理</t>
        </is>
      </c>
      <c r="C58" s="40" t="inlineStr">
        <is>
          <t>P1</t>
        </is>
      </c>
      <c r="D58" s="40" t="inlineStr">
        <is>
          <t>工程</t>
        </is>
      </c>
      <c r="E58" s="40" t="inlineStr">
        <is>
          <t>工程扫描第一刀（含补扫 6 项）</t>
        </is>
      </c>
      <c r="F58" s="40" t="inlineStr">
        <is>
          <t>二期开工前工程扫描；BF stash 清理挂本项。补扫6项：1)模型入口与.env绑定(llm/vision/stt/tts/imageGen)；2)主动/空间结算隐式耦合(C-05/M-07/C-06/M-01)；3)记忆链路失败与空泡(extract→filter→pending→honor)；4)前端App.vue体量与状态交叉；5)uploads/SQLite增长与清理；6)未push/stash残留、双机.env漂移。</t>
        </is>
      </c>
      <c r="G58" s="40" t="inlineStr">
        <is>
          <t>扫描完成产出 docs/product/ARCH-1-债清单.md；D-04 挪功能池与 C-06 同组 P2；D-05 留 ARCH-2 可观测；D-11 挂 HY；stash×2 建议临时丢；smoke_*.py 入库。</t>
        </is>
      </c>
      <c r="H58" s="83" t="n">
        <v>46305</v>
      </c>
      <c r="I58" s="88" t="n">
        <v>46305</v>
      </c>
      <c r="J58" s="40" t="inlineStr">
        <is>
          <t>1b3b635 / 83e9ab6</t>
        </is>
      </c>
      <c r="K58" s="40" t="inlineStr">
        <is>
          <t>二期前四刀第1。补扫 6 条细目待主 Bot 贴齐后回写现象栏。 2026-10-10 补扫6项已写入现象栏。 2026-10-10 收口：债清单已写；详见 ARCH-1-债清单.md 功能池旁注。 2026-10-10 17:12 CST：stash×2 已记简述并 drop（见 ARCH-1 债清单收口修订）。 远程 tip eb48fbb（2026-10-10 17:12 CST push）。</t>
        </is>
      </c>
      <c r="L58" s="40" t="inlineStr">
        <is>
          <t>a2be134</t>
        </is>
      </c>
    </row>
    <row r="59">
      <c r="A59" s="40" t="inlineStr">
        <is>
          <t>ARCH-2</t>
        </is>
      </c>
      <c r="B59" s="40" t="inlineStr">
        <is>
          <t>已处理</t>
        </is>
      </c>
      <c r="C59" s="40" t="inlineStr">
        <is>
          <t>P2</t>
        </is>
      </c>
      <c r="D59" s="40" t="inlineStr">
        <is>
          <t>工程</t>
        </is>
      </c>
      <c r="E59" s="40" t="inlineStr">
        <is>
          <t>模型封装与成本中偏高</t>
        </is>
      </c>
      <c r="F59" s="40" t="inlineStr">
        <is>
          <t>模型调用封装、成本计量偏高；承接 N-02 动态路由与 API 试跑线。</t>
        </is>
      </c>
      <c r="G59" s="40" t="inlineStr">
        <is>
          <t>关单 2026-10-10 21:30 CST（HY）。管道 Provider+.env+D-05。试跑：DeepSeek 文本通；本地 Ollama qwen2.5vl:7b 读图通；Gemini TTS 缺 Key 未实跑→挂 B-04d/API 试跑线续债。N-02 未做。 【2026-10-13】DeepSeek 官方文本+识图已通（BF）；Gemini 仍挂 Key。</t>
        </is>
      </c>
      <c r="H59" s="83" t="n">
        <v>46305</v>
      </c>
      <c r="I59" s="83" t="n">
        <v>46305</v>
      </c>
      <c r="J59" s="40" t="inlineStr">
        <is>
          <t>基于 f092de0 的关单 commit</t>
        </is>
      </c>
      <c r="K59" s="40" t="inlineStr">
        <is>
          <t>试跑主证据改为 HY 本地 VLM；硅基 Qwen3-VL 降为回落 2026-10-11 API 切换试跑线（HY）：DeepSeek 文本通（硅基 DeepSeek-V4-Flash，本机 DEEPSEEK_API_KEY 空）；读图：本地 Ollama qwen2.5vl:7b 通（官方/独立 VLM Key 未配）；Gemini TTS 缺 GEMINI_API_KEY → 挂债不阻塞（B-04d 续）。N-02 仍不动。 2026-10-11 收尾试跑线备注：DeepSeek 文本通（硅基 DeepSeek-V4-Flash，属 DeepSeek 系列）；本地 Ollama qwen2.5vl 读图通；Gemini TTS + 官方 VLM Key 挂债（不阻塞）。N-02 不动。 2026-10-13 BF 拍板：DeepSeek 官方试跑 **已通**（文本+识图均 api.deepseek.com / deepseek-flash；官方识图超出原仅文本计划）。Gemini TTS 仍等 GEMINI_API_KEY；N-02 不变。</t>
        </is>
      </c>
      <c r="L59" s="40" t="inlineStr">
        <is>
          <t>已 push（管道 tip 9c3bab0；关单待试跑线）</t>
        </is>
      </c>
    </row>
    <row r="60">
      <c r="A60" s="40" t="inlineStr">
        <is>
          <t>ARCH-3</t>
        </is>
      </c>
      <c r="B60" s="40" t="inlineStr">
        <is>
          <t>已处理</t>
        </is>
      </c>
      <c r="C60" s="40" t="inlineStr">
        <is>
          <t>P2</t>
        </is>
      </c>
      <c r="D60" s="40" t="inlineStr">
        <is>
          <t>工程</t>
        </is>
      </c>
      <c r="E60" s="40" t="inlineStr">
        <is>
          <t>前端状态管理整理</t>
        </is>
      </c>
      <c r="F60" s="40" t="inlineStr">
        <is>
          <t>前端状态分散，影响后续 UI 刀。</t>
        </is>
      </c>
      <c r="G60" s="40" t="inlineStr">
        <is>
          <t>2026-10-10 HY：抽出 useMoments / usePersonaEditor / useProactiveSettings；App.vue 变薄；web build 过。未上 Pinia；D-03 conversations.ts 未动。D-02 部分收口（不追全收）。</t>
        </is>
      </c>
      <c r="H60" s="83" t="n">
        <v>46305</v>
      </c>
      <c r="I60" s="83" t="n">
        <v>46305</v>
      </c>
      <c r="J60" s="40" t="inlineStr">
        <is>
          <t>23da1dc</t>
        </is>
      </c>
      <c r="K60" s="40" t="inlineStr">
        <is>
          <t>UI 并行刀前评估。 2026-10-10：由暂缓改待处理；顺序在试跑线之后、UI-1 之前。；D-02 部分收口（UI-1 后不追全收，回头再看 App.vue） 2026-10-10 收尾：状态改已处理。D-02 仍部分收口；红点/未读（unread_count+totalUnread）仍在 App.vue，未来收 D-02 时抽 composable（UI-3 顺手发现）。 2026-10-11：D-02 定「部分收口」——状态已迁（P0/P1/P2 关单）；剩壳模板/胶水/status/展示辅助/emoji；不标已收口；壳层清理拆独立债 D-02b。不再继续抽 App.vue。</t>
        </is>
      </c>
      <c r="L60" s="40" t="inlineStr">
        <is>
          <t>不适用</t>
        </is>
      </c>
    </row>
    <row r="61">
      <c r="A61" s="40" t="inlineStr">
        <is>
          <t>B-04c</t>
        </is>
      </c>
      <c r="B61" s="40" t="inlineStr">
        <is>
          <t>已处理</t>
        </is>
      </c>
      <c r="C61" s="40" t="inlineStr">
        <is>
          <t>P2</t>
        </is>
      </c>
      <c r="D61" s="40" t="inlineStr">
        <is>
          <t>消息</t>
        </is>
      </c>
      <c r="E61" s="40" t="inlineStr">
        <is>
          <t>生图触发词过严</t>
        </is>
      </c>
      <c r="F61" s="40" t="inlineStr">
        <is>
          <t>冒烟：「帮我画一只猫」可出图；裸「画一只猫」不触发 wantsImageGeneration。</t>
        </is>
      </c>
      <c r="H61" s="83" t="n">
        <v>46305</v>
      </c>
      <c r="I61" s="83" t="n">
        <v>46309</v>
      </c>
      <c r="J61" s="40" t="inlineStr">
        <is>
          <t>af133b9</t>
        </is>
      </c>
      <c r="K61" s="40" t="inlineStr">
        <is>
          <t>已关 tip af133b9（feat b1ad348）：wantsImageGeneration 加宽量词（只/条/匹等）；裸「画一只猫」可触发；闲聊不误触；云测过。失败仍 B-04d 人话路径。</t>
        </is>
      </c>
      <c r="L61" s="40" t="inlineStr">
        <is>
          <t>已 push</t>
        </is>
      </c>
    </row>
    <row r="62">
      <c r="A62" s="40" t="inlineStr">
        <is>
          <t>B-04d</t>
        </is>
      </c>
      <c r="B62" s="40" t="inlineStr">
        <is>
          <t>待实打</t>
        </is>
      </c>
      <c r="C62" s="40" t="inlineStr">
        <is>
          <t>P3</t>
        </is>
      </c>
      <c r="D62" s="40" t="inlineStr">
        <is>
          <t>消息</t>
        </is>
      </c>
      <c r="E62" s="40" t="inlineStr">
        <is>
          <t>B-04B Key 失败路径未实打</t>
        </is>
      </c>
      <c r="F62" s="40" t="inlineStr">
        <is>
          <t>生图 Key 失败人话路径代码在、一期未实打。</t>
        </is>
      </c>
      <c r="G62" s="40" t="inlineStr">
        <is>
          <t>2026-10-13 BF 验证+小补：坏 IMAGE_GEN_API_KEY → 上游 401；用户气泡人话「这张图没画成：密钥无效或没有权限…」不再夹带上游 JSON。formatImageGenUserError + throw 仅保留状态码；服务端仍 log 截断 body。</t>
        </is>
      </c>
      <c r="H62" s="83" t="n">
        <v>46305</v>
      </c>
      <c r="I62" s="88" t="n">
        <v>46308</v>
      </c>
      <c r="J62" s="40" t="inlineStr">
        <is>
          <t>6263381</t>
        </is>
      </c>
      <c r="K62" s="40" t="inlineStr">
        <is>
          <t>挂 API/密钥试跑时顺带验。 2026-10-10：读图 VLM 债/B-04d 在 ARCH-2 试跑线里还（非独立刀）。 2026-10-10 试跑线观测：坏 IMAGE_GEN Key → 上游 HTTP 401 Token is invalid；产品侧失败回流人话路径未改代码实打，仍暂缓。 2026-10-11 收尾：Gemini TTS + 官方 VLM 仍挂债等 Key；排在 X05-D1 / D-02b 之后。 2026-10-13：DeepSeek 官方文本+识图已通，不再算试跑挂债；本条续挂 **Gemini TTS 等 Key** + 生图失败人话路径。 2026-10-13：B-04d 关单（验证失败路径+开发去 JSON）。Gemini TTS 仍等 Key，不在本条。 N-02 不动。生图 Key=IMAGE_GEN_*（硅基），非 DeepSeek 文本键。；2026-10-14：状态改为「待实打」——代码已合 tip 6263381（formatImageGenUserError 人话），非未做；待云侧坏 Key 实打验收（验完须恢复 .env）。</t>
        </is>
      </c>
      <c r="L62" s="40" t="inlineStr">
        <is>
          <t>代码已合；待实打</t>
        </is>
      </c>
    </row>
    <row r="63">
      <c r="A63" s="40" t="inlineStr">
        <is>
          <t>O-03</t>
        </is>
      </c>
      <c r="B63" s="40" t="inlineStr">
        <is>
          <t>已处理</t>
        </is>
      </c>
      <c r="C63" s="40" t="inlineStr">
        <is>
          <t>P2</t>
        </is>
      </c>
      <c r="D63" s="40" t="inlineStr">
        <is>
          <t>工程</t>
        </is>
      </c>
      <c r="E63" s="40" t="inlineStr">
        <is>
          <t>BF stash 清理</t>
        </is>
      </c>
      <c r="F63" s="40" t="inlineStr">
        <is>
          <t>BF 残留 stash（issue tracker / local before M-01），避免和下包混。</t>
        </is>
      </c>
      <c r="G63" s="40" t="inlineStr">
        <is>
          <t>stash×2 已 drop（2026-10-10 17:12 CST）；内容简述已写入 ARCH-1 债清单收口修订；无遗留业务 diff。</t>
        </is>
      </c>
      <c r="H63" s="83" t="n">
        <v>46305</v>
      </c>
      <c r="I63" s="83" t="n">
        <v>46305</v>
      </c>
      <c r="K63" s="40" t="inlineStr">
        <is>
          <t>挂 ARCH-1 扫描一并处理。 2026-10-10：随 ARCH-1 收口 stash×2 已 drop。 2026-10-10 20:30 CST 已处理确认（stash drop 收口）。</t>
        </is>
      </c>
      <c r="L63" s="40" t="inlineStr">
        <is>
          <t>已 push</t>
        </is>
      </c>
    </row>
    <row r="64">
      <c r="A64" s="40" t="inlineStr">
        <is>
          <t>UI-1</t>
        </is>
      </c>
      <c r="B64" s="40" t="inlineStr">
        <is>
          <t>已处理</t>
        </is>
      </c>
      <c r="C64" s="40" t="inlineStr">
        <is>
          <t>P2</t>
        </is>
      </c>
      <c r="D64" s="40" t="inlineStr">
        <is>
          <t>界面</t>
        </is>
      </c>
      <c r="E64" s="40" t="inlineStr">
        <is>
          <t>动效基础层</t>
        </is>
      </c>
      <c r="F64" s="40" t="inlineStr">
        <is>
          <t>统一时长、曲线、触发场景（Telegram/Discord 娱乐向）。</t>
        </is>
      </c>
      <c r="G64" s="40" t="inlineStr">
        <is>
          <t>2026-10-10 HY：动效基础层。`apps/web/src/constants/motion.ts` + `wechat.css` `--motion-*`；nav/列表 micro transition 改走 token；人设编辑 / 发动态 composer 挂 Transition `wx-motion-fade`。未做 UI-2/UI-3。 2026-10-10 关单前核对：App.vue 工作区与 HEAD 内容 hash 一致（a02fa9e），所谓 2234→2243 为 Measure-Object -Line / CRLF 计行口径差，非脏改；提交面干净后关单。</t>
        </is>
      </c>
      <c r="H64" s="83" t="n">
        <v>46305</v>
      </c>
      <c r="I64" s="88" t="n">
        <v>46305</v>
      </c>
      <c r="J64" s="40" t="inlineStr">
        <is>
          <t>3737c1d</t>
        </is>
      </c>
      <c r="K64" s="40" t="inlineStr">
        <is>
          <t>仅基础层；UI-2/3 另开。Gemini TTS 挂债；N-02 不动。D-02 部分收口。 关单确认记入 95a7bf5（计行口径非脏改）。</t>
        </is>
      </c>
      <c r="L64" s="40" t="inlineStr">
        <is>
          <t>已 push</t>
        </is>
      </c>
    </row>
    <row r="65">
      <c r="A65" s="40" t="inlineStr">
        <is>
          <t>UI-2</t>
        </is>
      </c>
      <c r="B65" s="40" t="inlineStr">
        <is>
          <t>已处理</t>
        </is>
      </c>
      <c r="C65" s="40" t="inlineStr">
        <is>
          <t>P2</t>
        </is>
      </c>
      <c r="D65" s="40" t="inlineStr">
        <is>
          <t>界面</t>
        </is>
      </c>
      <c r="E65" s="40" t="inlineStr">
        <is>
          <t>消息动效</t>
        </is>
      </c>
      <c r="F65" s="40" t="inlineStr">
        <is>
          <t>发送/接收过渡、正在输入动效。落点：CSS/TransitionGroup + UI-1 token；不往 App.vue 加播放态；不 Pinia；不为未来预建 useMessageMotion；不动 profileMoments。</t>
        </is>
      </c>
      <c r="G65" s="40" t="inlineStr">
        <is>
          <t>2026-10-10 HY：消息列表 TransitionGroup `wx-motion-msg`（按会话 key 重挂避免切房刷入场）；发送中复用已有 `sending` 挂纯 CSS「正在输入」三点（Transition `wx-motion-fade`）。未建 useMessageMotion；未动 profileMoments。</t>
        </is>
      </c>
      <c r="H65" s="83" t="n">
        <v>46305</v>
      </c>
      <c r="I65" s="83" t="n">
        <v>46305</v>
      </c>
      <c r="J65" s="40" t="inlineStr">
        <is>
          <t>95a7bf5</t>
        </is>
      </c>
      <c r="K65" s="40" t="inlineStr">
        <is>
          <t>依赖 UI-1 基础层。 依赖 UI-1 基础层。状态落点拍板：CSS/Transition + token；跨组件共享入场态才建 useMessageMotion（本刀未需要）。 关单补注：所谓 App.vue 2234→2243 那 9 行是计行口径差（Measure-Object -Line / CRLF），工作区与 HEAD 内容一致，非脏改。</t>
        </is>
      </c>
      <c r="L65" s="40" t="inlineStr">
        <is>
          <t>已 push</t>
        </is>
      </c>
    </row>
    <row r="66">
      <c r="A66" s="40" t="inlineStr">
        <is>
          <t>UI-3</t>
        </is>
      </c>
      <c r="B66" s="40" t="inlineStr">
        <is>
          <t>已处理</t>
        </is>
      </c>
      <c r="C66" s="40" t="inlineStr">
        <is>
          <t>P2</t>
        </is>
      </c>
      <c r="D66" s="40" t="inlineStr">
        <is>
          <t>界面</t>
        </is>
      </c>
      <c r="E66" s="40" t="inlineStr">
        <is>
          <t>红点/未读动效</t>
        </is>
      </c>
      <c r="F66" s="40" t="inlineStr">
        <is>
          <t>未读红点动效增强（C-03 功能已有）。</t>
        </is>
      </c>
      <c r="G66" s="40" t="inlineStr">
        <is>
          <t>2026-10-10 HY：红点/未读角标纯 CSS 动效。wx-nav-dot / wx-unread-badge 挂 Transition wx-motion-badge（enter/leave scale+opacity），走 UI-1 --motion-duration-fast + enter/exit easing。C-03 状态仍在 App.vue（conversations.unread_count / totalUnread / 开聊清零）；未搬状态、未建 useUnread、未往 App 加播放态。UI-4 未做。</t>
        </is>
      </c>
      <c r="H66" s="83" t="n">
        <v>46305</v>
      </c>
      <c r="I66" s="83" t="n">
        <v>46305</v>
      </c>
      <c r="J66" s="40" t="inlineStr">
        <is>
          <t>aa8e6ad / tip 4d985b3</t>
        </is>
      </c>
      <c r="K66" s="40" t="inlineStr">
        <is>
          <t>依赖 UI-1。落点拍板：只做出现/消失纯 CSS；状态不动。N-02、Gemini TTS 维持不动；D-02 仍部分收口。不做 UI-4。 2026-10-10 收尾关单确认：已推 tip 4d985b3。</t>
        </is>
      </c>
      <c r="L66" s="40" t="inlineStr">
        <is>
          <t>已 push</t>
        </is>
      </c>
    </row>
    <row r="67">
      <c r="A67" s="40" t="inlineStr">
        <is>
          <t>UI-4</t>
        </is>
      </c>
      <c r="B67" s="40" t="inlineStr">
        <is>
          <t>已处理</t>
        </is>
      </c>
      <c r="C67" s="40" t="inlineStr">
        <is>
          <t>P2</t>
        </is>
      </c>
      <c r="D67" s="40" t="inlineStr">
        <is>
          <t>界面</t>
        </is>
      </c>
      <c r="E67" s="40" t="inlineStr">
        <is>
          <t>语音气泡视觉：波形+播放/暂停+进度</t>
        </is>
      </c>
      <c r="F67" s="40" t="inlineStr">
        <is>
          <t>语音泡波形与进度视觉。</t>
        </is>
      </c>
      <c r="G67" s="40" t="inlineStr">
        <is>
          <t>2026-10-11 HY：UI-4 选 A。复用 ttsPlayingId/ttsLoadingId；语音泡播放/暂停/加载图标改纯 CSS；波形走 UI-1 --motion-*；进度条装饰性假进度（playing 假填充 / loading 不确定条），不接 audio.currentTime；未新增状态、未建 useTtsPlayback、未动 X-06。web build 过。；2026-10-11：X-06 已接真进度，playing 假进度动画已撤。</t>
        </is>
      </c>
      <c r="H67" s="83" t="n">
        <v>46305</v>
      </c>
      <c r="I67" s="40" t="inlineStr">
        <is>
          <t>2026-10-11</t>
        </is>
      </c>
      <c r="J67" s="40" t="inlineStr">
        <is>
          <t>08d4050</t>
        </is>
      </c>
      <c r="K67" s="40" t="inlineStr">
        <is>
          <t>与 X-06 分工：UI-4=视觉；X-06=交互。可同迭代分两行。 2026-10-10 收尾：明天第一刀 UI-4。开前先定：① UI-4 视觉 / X-06 交互边界；② 语音播放态、加载态、进度落点（App / composable / 纯 CSS）。今天不写代码。 2026-10-11 拍板选 A：纯 CSS 假进度；真进度/seek 留给 X-06；N-02、Gemini TTS 维持不动。 2026-10-11：功能关单本地 08d4050 / tip 81b3fff；push 因 HY→GitHub 443 失败，网络恢复后补推。</t>
        </is>
      </c>
      <c r="L67" s="40" t="inlineStr">
        <is>
          <t>待 push（HY 本地 tip 81b3fff，GitHub 443 不通）</t>
        </is>
      </c>
    </row>
    <row r="68">
      <c r="A68" s="40" t="inlineStr">
        <is>
          <t>UI-5</t>
        </is>
      </c>
      <c r="B68" s="40" t="inlineStr">
        <is>
          <t>已处理</t>
        </is>
      </c>
      <c r="C68" s="40" t="inlineStr">
        <is>
          <t>P3</t>
        </is>
      </c>
      <c r="D68" s="40" t="inlineStr">
        <is>
          <t>界面</t>
        </is>
      </c>
      <c r="E68" s="40" t="inlineStr">
        <is>
          <t>Reaction 多表情+微动效</t>
        </is>
      </c>
      <c r="F68" s="40" t="inlineStr">
        <is>
          <t>消息 reaction 多表情与微动效。</t>
        </is>
      </c>
      <c r="G68" s="40" t="inlineStr">
        <is>
          <t>2026-10-11 HY：UI-5 Reaction 多表情+微动效落地。message_reactions + toggle API；useMessageReactions；快捷👍❤️😂😮😢🙏；微动效走 UI-1 token。App.vue +37 主要为模板/接线，无新业务 ref。关单确认：抬行均为模板，未堆状态。</t>
        </is>
      </c>
      <c r="H68" s="83" t="n">
        <v>46305</v>
      </c>
      <c r="I68" s="88" t="n">
        <v>46306</v>
      </c>
      <c r="J68" s="40" t="inlineStr">
        <is>
          <t>c6b9e33</t>
        </is>
      </c>
      <c r="K68" s="40" t="inlineStr">
        <is>
          <t>娱乐向，P3。 2026-10-11 关单。N-02、Gemini TTS 维持不动。</t>
        </is>
      </c>
      <c r="L68" s="40" t="inlineStr">
        <is>
          <t>已 push（tip 链至 0ed81a1 / 现 tip bdca268）</t>
        </is>
      </c>
    </row>
    <row r="69">
      <c r="A69" s="40" t="inlineStr">
        <is>
          <t>UI-6</t>
        </is>
      </c>
      <c r="B69" s="40" t="inlineStr">
        <is>
          <t>已处理</t>
        </is>
      </c>
      <c r="C69" s="40" t="inlineStr">
        <is>
          <t>P3</t>
        </is>
      </c>
      <c r="D69" s="40" t="inlineStr">
        <is>
          <t>界面</t>
        </is>
      </c>
      <c r="E69" s="40" t="inlineStr">
        <is>
          <t>群聊活跃感</t>
        </is>
      </c>
      <c r="F69" s="40" t="inlineStr">
        <is>
          <t>角色头像浮动、正在输入等群聊活跃感。</t>
        </is>
      </c>
      <c r="G69" s="40" t="inlineStr">
        <is>
          <t>2026-10-11 HY：UI-6 群聊活跃感落地——成员头像 ambient float（UI-1 token）+ 群聊正在输入头像条；复用 sending，无新业务态；prefers-reduced-motion 关闭动画。</t>
        </is>
      </c>
      <c r="H69" s="83" t="n">
        <v>46305</v>
      </c>
      <c r="I69" s="40" t="inlineStr">
        <is>
          <t>2026-10-11</t>
        </is>
      </c>
      <c r="J69" s="40" t="inlineStr">
        <is>
          <t>89f8a9d</t>
        </is>
      </c>
      <c r="K69" s="40" t="inlineStr">
        <is>
          <t>已关闭：ambient float + 群聊正在输入头像；复用 sending 2026-10-11 审计：UI-6 +24 全是模板结构（群头像/sending），无新业务 ref。</t>
        </is>
      </c>
      <c r="L69" s="40" t="inlineStr">
        <is>
          <t>已 push</t>
        </is>
      </c>
    </row>
    <row r="70">
      <c r="A70" s="47" t="inlineStr">
        <is>
          <t>U-xx</t>
        </is>
      </c>
      <c r="B70" s="47" t="n"/>
      <c r="C70" s="47" t="n"/>
      <c r="D70" s="47" t="n"/>
      <c r="E70" s="46" t="inlineStr">
        <is>
          <t>（在此行往下追加新问题。ID 建议：U 界面 / G 群聊 / C 会话 / M 朋友圈 / R 角色 / B 体验 / O 工程）</t>
        </is>
      </c>
      <c r="F70" s="47" t="n"/>
      <c r="G70" s="47" t="n"/>
      <c r="H70" s="47" t="n"/>
      <c r="I70" s="47" t="n"/>
      <c r="J70" s="47" t="n"/>
      <c r="K70" s="47" t="n"/>
      <c r="L70" s="40" t="inlineStr">
        <is>
          <t>不适用</t>
        </is>
      </c>
    </row>
    <row r="71">
      <c r="A71" s="47" t="n"/>
      <c r="B71" s="47" t="n"/>
      <c r="C71" s="47" t="n"/>
      <c r="D71" s="47" t="n"/>
      <c r="E71" s="47" t="n"/>
      <c r="F71" s="47" t="n"/>
      <c r="G71" s="47" t="n"/>
      <c r="H71" s="47" t="n"/>
      <c r="I71" s="47" t="n"/>
      <c r="J71" s="47" t="n"/>
      <c r="K71" s="47" t="n"/>
    </row>
    <row r="72">
      <c r="A72" s="47" t="n"/>
      <c r="B72" s="47" t="n"/>
      <c r="C72" s="47" t="n"/>
      <c r="D72" s="47" t="n"/>
      <c r="E72" s="47" t="n"/>
      <c r="F72" s="47" t="n"/>
      <c r="G72" s="47" t="n"/>
      <c r="H72" s="47" t="n"/>
      <c r="I72" s="47" t="n"/>
      <c r="J72" s="47" t="n"/>
      <c r="K72" s="47" t="n"/>
    </row>
    <row r="73">
      <c r="A73" s="47" t="n"/>
      <c r="B73" s="47" t="n"/>
      <c r="C73" s="47" t="n"/>
      <c r="D73" s="47" t="n"/>
      <c r="E73" s="47" t="n"/>
      <c r="F73" s="47" t="n"/>
      <c r="G73" s="47" t="n"/>
      <c r="H73" s="47" t="n"/>
      <c r="I73" s="47" t="n"/>
      <c r="J73" s="47" t="n"/>
      <c r="K73" s="47" t="n"/>
    </row>
    <row r="74">
      <c r="A74" s="47" t="n"/>
      <c r="B74" s="47" t="n"/>
      <c r="C74" s="47" t="n"/>
      <c r="D74" s="47" t="n"/>
      <c r="E74" s="47" t="n"/>
      <c r="F74" s="47" t="n"/>
      <c r="G74" s="47" t="n"/>
      <c r="H74" s="47" t="n"/>
      <c r="I74" s="47" t="n"/>
      <c r="J74" s="47" t="n"/>
      <c r="K74" s="47" t="n"/>
    </row>
    <row r="75">
      <c r="A75" s="47" t="n"/>
      <c r="B75" s="47" t="n"/>
      <c r="C75" s="47" t="n"/>
      <c r="D75" s="47" t="n"/>
      <c r="E75" s="47" t="n"/>
      <c r="F75" s="47" t="n"/>
      <c r="G75" s="47" t="n"/>
      <c r="H75" s="47" t="n"/>
      <c r="I75" s="47" t="n"/>
      <c r="J75" s="47" t="n"/>
      <c r="K75" s="47" t="n"/>
    </row>
    <row r="76">
      <c r="A76" s="47" t="n"/>
      <c r="B76" s="47" t="n"/>
      <c r="C76" s="47" t="n"/>
      <c r="D76" s="47" t="n"/>
      <c r="E76" s="47" t="n"/>
      <c r="F76" s="47" t="n"/>
      <c r="G76" s="47" t="n"/>
      <c r="H76" s="47" t="n"/>
      <c r="I76" s="47" t="n"/>
      <c r="J76" s="47" t="n"/>
      <c r="K76" s="47" t="n"/>
    </row>
    <row r="77">
      <c r="A77" s="47" t="n"/>
      <c r="B77" s="47" t="n"/>
      <c r="C77" s="47" t="n"/>
      <c r="D77" s="47" t="n"/>
      <c r="E77" s="47" t="n"/>
      <c r="F77" s="47" t="n"/>
      <c r="G77" s="47" t="n"/>
      <c r="H77" s="47" t="n"/>
      <c r="I77" s="47" t="n"/>
      <c r="J77" s="47" t="n"/>
      <c r="K77" s="47" t="n"/>
    </row>
    <row r="78">
      <c r="A78" s="40" t="inlineStr">
        <is>
          <t>D-02</t>
        </is>
      </c>
      <c r="B78" s="40" t="inlineStr">
        <is>
          <t>部分收口</t>
        </is>
      </c>
      <c r="C78" s="40" t="inlineStr">
        <is>
          <t>P2</t>
        </is>
      </c>
      <c r="D78" s="40" t="inlineStr">
        <is>
          <t>前端</t>
        </is>
      </c>
      <c r="E78" s="40" t="inlineStr">
        <is>
          <t>App.vue 状态管理（ARCH-1 债）</t>
        </is>
      </c>
      <c r="F78" s="40" t="inlineStr">
        <is>
          <t>二期开工 App.vue ~2471 行，状态全堆一处。ARCH-3/UI/D-02 P0–P2 已迁出 chat/shell/profile/contacts/memory/voice 等 composable。</t>
        </is>
      </c>
      <c r="G78" s="40" t="inlineStr">
        <is>
          <t>2026-10-11 定口径：部分收口（不标已收口）。状态部分已收：P0 useAppShell+useChatSession（8606bbb）；P1 useProfileAppearance+useContactsImport（d6a00c5）；P2 useMemoryUi+useVoiceInput（bdca268）。App.vue ~2446→1629。剩：壳模板、composable 胶水、status、消息展示辅助、emoji 接线——拆 D-02b，不再继续抽。 2026-10-13 计分行（含 D-02b）：App.vue **2446 → 1527（−919 行）**。D-02 仍部分收口；D-02b 已关。 2026-10-13 计分行续：App.vue **2446 → 1527（D-02b）→ 1554（X05-D2+D5）**。D2+D5 +27=资料页丢弃模板+胶水；pending 状态在 useMemoryUi，非 App 新业务 ref。</t>
        </is>
      </c>
      <c r="H78" s="88" t="n">
        <v>46305</v>
      </c>
      <c r="J78" s="40" t="inlineStr">
        <is>
          <t>bdca268</t>
        </is>
      </c>
      <c r="K78" s="40" t="inlineStr">
        <is>
          <t>App.vue 趋势：2446→1527（D-02b）→1554（D2+D5）→1590（X-03）→1620（X-04）→1655（X-02）→1683（M-05b +28）；1527 后为功能 UI 模板抬回，非 D-02 回涨。现 tip App.vue=1683。</t>
        </is>
      </c>
      <c r="L78" s="40" t="inlineStr">
        <is>
          <t>已 push；累计计分行见 2026-10-13 备注（tip 链至 cd9ea00/D-02b）</t>
        </is>
      </c>
    </row>
    <row r="79">
      <c r="A79" s="40" t="inlineStr">
        <is>
          <t>D-02b</t>
        </is>
      </c>
      <c r="B79" s="40" t="inlineStr">
        <is>
          <t>已处理</t>
        </is>
      </c>
      <c r="C79" s="40" t="inlineStr">
        <is>
          <t>P3</t>
        </is>
      </c>
      <c r="D79" s="40" t="inlineStr">
        <is>
          <t>前端</t>
        </is>
      </c>
      <c r="E79" s="40" t="inlineStr">
        <is>
          <t>壳层/辅助清理（从 D-02 拆出）</t>
        </is>
      </c>
      <c r="F79" s="40" t="inlineStr">
        <is>
          <t>D-02 状态债已部分收口后，App.vue 仍剩壳模板重组、composable 胶水、status、消息展示辅助函数（avatarText/dayLabel/formatTime/collage 等）、emoji 接线。这是壳层/辅助重组，不是状态管理债。</t>
        </is>
      </c>
      <c r="G79" s="40" t="inlineStr">
        <is>
          <t>2026-10-13 BF：抽出 useStatusBar + useMessageDisplay；emoji document 监听与 conversations poll 生命周期收进 useChatSession。App.vue 1664→1527。行为不变。刻意不拆：大块壳模板、late-bound composable 胶水（边际收益/耦合）。</t>
        </is>
      </c>
      <c r="H79" s="88" t="n">
        <v>46306</v>
      </c>
      <c r="I79" s="88" t="n">
        <v>46308</v>
      </c>
      <c r="J79" s="40" t="inlineStr">
        <is>
          <t>ecc0910</t>
        </is>
      </c>
      <c r="K79" s="40" t="inlineStr">
        <is>
          <t>App.vue 趋势：2446→1527（D-02b）→1554（D2+D5）→1590（X-03）→1620（X-04）→1655（X-02）；1527 后为功能 UI 模板抬回，非 D-02 回涨。现 tip App.vue=1655。</t>
        </is>
      </c>
      <c r="L79" s="40" t="inlineStr">
        <is>
          <t>已 push（tip ecc0910）</t>
        </is>
      </c>
    </row>
    <row r="80">
      <c r="A80" s="40" t="inlineStr">
        <is>
          <t>X05-D1</t>
        </is>
      </c>
      <c r="B80" s="40" t="inlineStr">
        <is>
          <t>已处理</t>
        </is>
      </c>
      <c r="C80" s="40" t="inlineStr">
        <is>
          <t>P1</t>
        </is>
      </c>
      <c r="D80" s="40" t="inlineStr">
        <is>
          <t>角色</t>
        </is>
      </c>
      <c r="E80" s="40" t="inlineStr">
        <is>
          <t>记忆冲突确认快捷按钮</t>
        </is>
      </c>
      <c r="F80" s="40" t="inlineStr">
        <is>
          <t>X-05 续债：memory_confirm 仅自然语言解析，无「改/不改」按钮；模糊回复易留 pending。</t>
        </is>
      </c>
      <c r="G80" s="40" t="inlineStr">
        <is>
          <t>【本次新做】2026-10-13 BF：memory_confirm 气泡下「改/不改」chips；sendQuickText→resolvePendingMemoryConfirm；自然语言兜底保留；末尾未回复的确认才显示；发送后短轮询 listMessages 拉异步确认气泡。无新 App.vue 状态债。</t>
        </is>
      </c>
      <c r="H80" s="88" t="n">
        <v>46306</v>
      </c>
      <c r="I80" s="88" t="n">
        <v>46308</v>
      </c>
      <c r="J80" s="40" t="inlineStr">
        <is>
          <t>b851189</t>
        </is>
      </c>
      <c r="K80" s="40" t="inlineStr">
        <is>
          <t>来源 X-05。2026-10-13 BF 关单。选择=最小解释（不新开 API）。续：D-02b / X05-D2。N-02 不动。 **口径=本次新做**：先前仅有表行、无功能 commit（误传 a151f0b 不存在）；本轮 BF 新做落地 tip b851189，属补做关单。</t>
        </is>
      </c>
      <c r="L80" s="40" t="inlineStr">
        <is>
          <t>已 push（tip b851189）</t>
        </is>
      </c>
    </row>
    <row r="81">
      <c r="A81" s="40" t="inlineStr">
        <is>
          <t>X05-D2</t>
        </is>
      </c>
      <c r="B81" s="40" t="inlineStr">
        <is>
          <t>已处理</t>
        </is>
      </c>
      <c r="C81" s="40" t="inlineStr">
        <is>
          <t>P2</t>
        </is>
      </c>
      <c r="D81" s="40" t="inlineStr">
        <is>
          <t>角色</t>
        </is>
      </c>
      <c r="E81" s="40" t="inlineStr">
        <is>
          <t>pending 记忆 TTL</t>
        </is>
      </c>
      <c r="G81" s="40" t="inlineStr">
        <is>
          <t>2026-10-13 BF：默认 7 天 TTL（MEMORY_PENDING_TTL_DAYS）；updated_at 过期→superseded；资料页待确认可丢弃。D1 chips 不变。 【参数】7 天=agent 默认，待用户明确。</t>
        </is>
      </c>
      <c r="H81" s="88" t="n">
        <v>46306</v>
      </c>
      <c r="I81" s="88" t="n">
        <v>46308</v>
      </c>
      <c r="J81" s="40" t="inlineStr">
        <is>
          <t>ad92898</t>
        </is>
      </c>
      <c r="K81" s="40" t="inlineStr">
        <is>
          <t>来源 X-05。与 D5 同刀。D3/D4 延期；D6 维持 off。 TTL=7d 为 **agent 默认**（文档示例），**产品参数已定**。</t>
        </is>
      </c>
      <c r="L81" s="40" t="inlineStr">
        <is>
          <t>已 push（tip ad92898）</t>
        </is>
      </c>
    </row>
    <row r="82">
      <c r="A82" s="40" t="inlineStr">
        <is>
          <t>X05-D5</t>
        </is>
      </c>
      <c r="B82" s="40" t="inlineStr">
        <is>
          <t>已处理</t>
        </is>
      </c>
      <c r="C82" s="40" t="inlineStr">
        <is>
          <t>P2</t>
        </is>
      </c>
      <c r="D82" s="40" t="inlineStr">
        <is>
          <t>角色</t>
        </is>
      </c>
      <c r="E82" s="40" t="inlineStr">
        <is>
          <t>提取失败轻可见</t>
        </is>
      </c>
      <c r="G82" s="40" t="inlineStr">
        <is>
          <t>2026-10-13 BF：指标优先（[memory.obs] metric + /api/health.memoryExtract）；MEMORY_EXTRACT_DEBUG=1 时安静 memory_debug 气泡。</t>
        </is>
      </c>
      <c r="H82" s="88" t="n">
        <v>46306</v>
      </c>
      <c r="I82" s="88" t="n">
        <v>46308</v>
      </c>
      <c r="J82" s="40" t="inlineStr">
        <is>
          <t>ad92898</t>
        </is>
      </c>
      <c r="K82" s="40" t="inlineStr">
        <is>
          <t>来源 X-05 / D-05 延伸。与 D2 同刀。默认不开 debug 提示。</t>
        </is>
      </c>
      <c r="L82" s="40" t="inlineStr">
        <is>
          <t>已 push（tip ad92898）</t>
        </is>
      </c>
    </row>
    <row r="83">
      <c r="A83" s="40" t="inlineStr">
        <is>
          <t>X05-D3</t>
        </is>
      </c>
      <c r="B83" s="40" t="inlineStr">
        <is>
          <t>暂缓</t>
        </is>
      </c>
      <c r="C83" s="40" t="inlineStr">
        <is>
          <t>P2</t>
        </is>
      </c>
      <c r="D83" s="40" t="inlineStr">
        <is>
          <t>角色</t>
        </is>
      </c>
      <c r="E83" s="40" t="inlineStr">
        <is>
          <t>确认气泡异步晚到</t>
        </is>
      </c>
      <c r="G83" s="40" t="inlineStr">
        <is>
          <t>延期/记账</t>
        </is>
      </c>
      <c r="H83" s="88" t="n">
        <v>46306</v>
      </c>
      <c r="I83" s="88" t="n">
        <v>46308</v>
      </c>
      <c r="J83" s="40" t="inlineStr">
        <is>
          <t>(pending commit)</t>
        </is>
      </c>
      <c r="K83" s="40" t="inlineStr">
        <is>
          <t>2026-10-13 拍板：本轮不做，延期。</t>
        </is>
      </c>
      <c r="L83" s="40" t="inlineStr">
        <is>
          <t>待 push</t>
        </is>
      </c>
    </row>
    <row r="84">
      <c r="A84" s="40" t="inlineStr">
        <is>
          <t>X05-D4</t>
        </is>
      </c>
      <c r="B84" s="40" t="inlineStr">
        <is>
          <t>暂缓</t>
        </is>
      </c>
      <c r="C84" s="40" t="inlineStr">
        <is>
          <t>P2</t>
        </is>
      </c>
      <c r="D84" s="40" t="inlineStr">
        <is>
          <t>角色</t>
        </is>
      </c>
      <c r="E84" s="40" t="inlineStr">
        <is>
          <t>过召回仍纯提示词</t>
        </is>
      </c>
      <c r="G84" s="40" t="inlineStr">
        <is>
          <t>延期/记账</t>
        </is>
      </c>
      <c r="H84" s="88" t="n">
        <v>46306</v>
      </c>
      <c r="I84" s="88" t="n">
        <v>46308</v>
      </c>
      <c r="J84" s="40" t="inlineStr">
        <is>
          <t>(pending commit)</t>
        </is>
      </c>
      <c r="K84" s="40" t="inlineStr">
        <is>
          <t>2026-10-13 拍板：本轮不做，延期。</t>
        </is>
      </c>
      <c r="L84" s="40" t="inlineStr">
        <is>
          <t>待 push</t>
        </is>
      </c>
    </row>
    <row r="85">
      <c r="A85" s="40" t="inlineStr">
        <is>
          <t>X05-D6</t>
        </is>
      </c>
      <c r="B85" s="40" t="inlineStr">
        <is>
          <t>暂缓</t>
        </is>
      </c>
      <c r="C85" s="40" t="inlineStr">
        <is>
          <t>P3</t>
        </is>
      </c>
      <c r="D85" s="40" t="inlineStr">
        <is>
          <t>角色</t>
        </is>
      </c>
      <c r="E85" s="40" t="inlineStr">
        <is>
          <t>MEMORY_GATE 默认 off</t>
        </is>
      </c>
      <c r="G85" s="40" t="inlineStr">
        <is>
          <t>延期/记账</t>
        </is>
      </c>
      <c r="H85" s="88" t="n">
        <v>46306</v>
      </c>
      <c r="I85" s="88" t="n">
        <v>46308</v>
      </c>
      <c r="J85" s="40" t="inlineStr">
        <is>
          <t>(pending commit)</t>
        </is>
      </c>
      <c r="K85" s="40" t="inlineStr">
        <is>
          <t>2026-10-13 拍板：MEMORY_GATE 维持 off（仅记账，不生产化）。</t>
        </is>
      </c>
      <c r="L85" s="40" t="inlineStr">
        <is>
          <t>待 push</t>
        </is>
      </c>
    </row>
    <row r="86">
      <c r="A86" s="40" t="inlineStr">
        <is>
          <t>D-04</t>
        </is>
      </c>
      <c r="B86" s="40" t="inlineStr">
        <is>
          <t>已处理</t>
        </is>
      </c>
      <c r="C86" s="40" t="inlineStr">
        <is>
          <t>P2</t>
        </is>
      </c>
      <c r="D86" s="40" t="inlineStr">
        <is>
          <t>会话</t>
        </is>
      </c>
      <c r="E86" s="40" t="inlineStr">
        <is>
          <t>主动/空间 cap 登记对齐（M-01 vs C-06）</t>
        </is>
      </c>
      <c r="F86" s="40" t="inlineStr">
        <is>
          <t>C-06 后 M-07 空间赞评不受私聊 daily_cap；M-01 作者回复仍吃 daily_cap，登记不一致。</t>
        </is>
      </c>
      <c r="G86" s="40" t="inlineStr">
        <is>
          <t>2026-10-13 BF：去掉 M-01 settleAuthorReplyToUserComment 的 daily_cap 跳过；与 C-06/M-07 一致。总开关+静默仍约束空间；私聊主动仍吃 daily_cap。</t>
        </is>
      </c>
      <c r="H86" s="88" t="n">
        <v>46305</v>
      </c>
      <c r="I86" s="88" t="n">
        <v>46308</v>
      </c>
      <c r="J86" s="40" t="inlineStr">
        <is>
          <t>b7cd9e6</t>
        </is>
      </c>
      <c r="K86" s="40" t="inlineStr">
        <is>
          <t>来源 ARCH-1 功能池 / C-06 遗留。N-02/Gemini/X05-D3～D6 不动。 备注：TTL 7d、静默 23:00–08:00 产品参数已定；D-11 双机 .env、D-22 smoke_*.py 仍在 ARCH-1 池。</t>
        </is>
      </c>
      <c r="L86" s="40" t="inlineStr">
        <is>
          <t>已 push</t>
        </is>
      </c>
    </row>
    <row r="87">
      <c r="A87" s="40" t="inlineStr">
        <is>
          <t>D-11</t>
        </is>
      </c>
      <c r="B87" s="40" t="inlineStr">
        <is>
          <t>已处理</t>
        </is>
      </c>
      <c r="C87" s="40" t="inlineStr">
        <is>
          <t>P2</t>
        </is>
      </c>
      <c r="D87" s="40" t="inlineStr">
        <is>
          <t>工程债</t>
        </is>
      </c>
      <c r="E87" s="40" t="inlineStr">
        <is>
          <t>双机 .env 键名 diff</t>
        </is>
      </c>
      <c r="H87" s="83" t="n">
        <v>46308</v>
      </c>
      <c r="I87" s="83" t="n">
        <v>46308</v>
      </c>
      <c r="J87" s="40" t="inlineStr">
        <is>
          <t>0a153f5</t>
        </is>
      </c>
      <c r="K87" s="40" t="inlineStr">
        <is>
          <t>全关 tip 0a153f5（表同步 3d18db9）：BF+HY 键名均入 D-11-env-key-diff.md，无密钥明文。</t>
        </is>
      </c>
      <c r="L87" s="40" t="inlineStr">
        <is>
          <t>已 push</t>
        </is>
      </c>
    </row>
    <row r="88">
      <c r="A88" s="40" t="inlineStr">
        <is>
          <t>D-22</t>
        </is>
      </c>
      <c r="B88" s="40" t="inlineStr">
        <is>
          <t>已处理</t>
        </is>
      </c>
      <c r="C88" s="40" t="inlineStr">
        <is>
          <t>P2</t>
        </is>
      </c>
      <c r="D88" s="40" t="inlineStr">
        <is>
          <t>工程债</t>
        </is>
      </c>
      <c r="E88" s="40" t="inlineStr">
        <is>
          <t>smoke_*.py 入库</t>
        </is>
      </c>
      <c r="H88" s="83" t="n">
        <v>46308</v>
      </c>
      <c r="I88" s="83" t="n">
        <v>46308</v>
      </c>
      <c r="J88" s="40" t="inlineStr">
        <is>
          <t>bccadb9</t>
        </is>
      </c>
      <c r="K88" s="40" t="inlineStr">
        <is>
          <t>全关 tip bccadb9：smoke_*.py → scripts/smoke/；.env.bak 不入库。</t>
        </is>
      </c>
      <c r="L88" s="40" t="inlineStr">
        <is>
          <t>已 push</t>
        </is>
      </c>
    </row>
    <row r="89">
      <c r="A89" s="86" t="inlineStr">
        <is>
          <t>W-01</t>
        </is>
      </c>
      <c r="B89" s="86" t="inlineStr">
        <is>
          <t>暂缓</t>
        </is>
      </c>
      <c r="C89" s="86" t="inlineStr">
        <is>
          <t>P1</t>
        </is>
      </c>
      <c r="D89" s="86" t="inlineStr">
        <is>
          <t>世界感</t>
        </is>
      </c>
      <c r="E89" s="86" t="inlineStr">
        <is>
          <t>此刻上下文注入（时间+地点）</t>
        </is>
      </c>
      <c r="F89" s="86" t="inlineStr">
        <is>
          <t>最小闭环：一行此刻上下文进 system prompt。</t>
        </is>
      </c>
      <c r="G89" s="86" t="inlineStr">
        <is>
          <t>待排期；前置 D-25。见《真实世界感设计备忘》。</t>
        </is>
      </c>
      <c r="H89" s="87" t="n">
        <v>46310</v>
      </c>
      <c r="I89" s="86" t="n"/>
      <c r="J89" s="86" t="n"/>
      <c r="K89" s="86" t="inlineStr">
        <is>
          <t>二期新增；待用户排期；不插队下一刀</t>
        </is>
      </c>
      <c r="L89" s="86" t="inlineStr">
        <is>
          <t>不适用</t>
        </is>
      </c>
    </row>
    <row r="90">
      <c r="A90" s="86" t="inlineStr">
        <is>
          <t>W-02</t>
        </is>
      </c>
      <c r="B90" s="86" t="inlineStr">
        <is>
          <t>暂缓</t>
        </is>
      </c>
      <c r="C90" s="86" t="inlineStr">
        <is>
          <t>P1</t>
        </is>
      </c>
      <c r="D90" s="86" t="inlineStr">
        <is>
          <t>世界感</t>
        </is>
      </c>
      <c r="E90" s="86" t="inlineStr">
        <is>
          <t>角色 presence 惰性求值</t>
        </is>
      </c>
      <c r="F90" s="86" t="inlineStr">
        <is>
          <t>位置状态机 + resolvePresence(now)；不跑全日定时器。</t>
        </is>
      </c>
      <c r="G90" s="86" t="inlineStr">
        <is>
          <t>依赖 W-01。见备忘。</t>
        </is>
      </c>
      <c r="H90" s="87" t="n">
        <v>46310</v>
      </c>
      <c r="I90" s="86" t="n"/>
      <c r="J90" s="86" t="n"/>
      <c r="K90" s="86" t="inlineStr">
        <is>
          <t>二期新增；待用户排期</t>
        </is>
      </c>
      <c r="L90" s="86" t="inlineStr">
        <is>
          <t>不适用</t>
        </is>
      </c>
    </row>
    <row r="91">
      <c r="A91" s="86" t="inlineStr">
        <is>
          <t>W-03</t>
        </is>
      </c>
      <c r="B91" s="86" t="inlineStr">
        <is>
          <t>暂缓</t>
        </is>
      </c>
      <c r="C91" s="86" t="inlineStr">
        <is>
          <t>P2</t>
        </is>
      </c>
      <c r="D91" s="86" t="inlineStr">
        <is>
          <t>世界感</t>
        </is>
      </c>
      <c r="E91" s="86" t="inlineStr">
        <is>
          <t>生活事件流水 life_events</t>
        </is>
      </c>
      <c r="F91" s="86" t="inlineStr">
        <is>
          <t>tick 推进世界状态并落流水；可召回。</t>
        </is>
      </c>
      <c r="G91" s="86" t="inlineStr">
        <is>
          <t>依赖 W-02；推进分支不得调 LLM。跨重启依赖 D-15。</t>
        </is>
      </c>
      <c r="H91" s="87" t="n">
        <v>46310</v>
      </c>
      <c r="I91" s="86" t="n"/>
      <c r="J91" s="86" t="n"/>
      <c r="K91" s="86" t="inlineStr">
        <is>
          <t>二期新增；待用户排期</t>
        </is>
      </c>
      <c r="L91" s="86" t="inlineStr">
        <is>
          <t>不适用</t>
        </is>
      </c>
    </row>
    <row r="92">
      <c r="A92" s="86" t="inlineStr">
        <is>
          <t>W-04</t>
        </is>
      </c>
      <c r="B92" s="86" t="inlineStr">
        <is>
          <t>暂缓</t>
        </is>
      </c>
      <c r="C92" s="86" t="inlineStr">
        <is>
          <t>P3</t>
        </is>
      </c>
      <c r="D92" s="86" t="inlineStr">
        <is>
          <t>世界感</t>
        </is>
      </c>
      <c r="E92" s="86" t="inlineStr">
        <is>
          <t>跨重启流逝补偿</t>
        </is>
      </c>
      <c r="F92" s="86" t="inlineStr">
        <is>
          <t>停机期间流逝按策略补算或作废。</t>
        </is>
      </c>
      <c r="G92" s="86" t="inlineStr">
        <is>
          <t>打磨项；依赖 W-02/W-03 与 D-15。</t>
        </is>
      </c>
      <c r="H92" s="87" t="n">
        <v>46310</v>
      </c>
      <c r="I92" s="86" t="n"/>
      <c r="J92" s="86" t="n"/>
      <c r="K92" s="86" t="inlineStr">
        <is>
          <t>二期新增；不进最小闭环</t>
        </is>
      </c>
      <c r="L92" s="86" t="inlineStr">
        <is>
          <t>不适用</t>
        </is>
      </c>
    </row>
    <row r="93">
      <c r="A93" s="86" t="inlineStr">
        <is>
          <t>W-05</t>
        </is>
      </c>
      <c r="B93" s="86" t="inlineStr">
        <is>
          <t>暂缓</t>
        </is>
      </c>
      <c r="C93" s="86" t="inlineStr">
        <is>
          <t>—</t>
        </is>
      </c>
      <c r="D93" s="86" t="inlineStr">
        <is>
          <t>世界感</t>
        </is>
      </c>
      <c r="E93" s="86" t="inlineStr">
        <is>
          <t>地图编辑器 / 全日作息引擎</t>
        </is>
      </c>
      <c r="F93" s="86" t="inlineStr">
        <is>
          <t>nyairo 最重块；模拟经营向。**明确不做**。</t>
        </is>
      </c>
      <c r="G93" s="86" t="inlineStr">
        <is>
          <t>明确不做。≠ W-03 生活痕迹。</t>
        </is>
      </c>
      <c r="H93" s="87" t="n">
        <v>46310</v>
      </c>
      <c r="I93" s="86" t="n"/>
      <c r="J93" s="86" t="n"/>
      <c r="K93" s="86" t="inlineStr">
        <is>
          <t>二期新增；产品已定明确不做（表无「不做」先例故暂缓+备注）</t>
        </is>
      </c>
      <c r="L93" s="86" t="inlineStr">
        <is>
          <t>不适用</t>
        </is>
      </c>
    </row>
    <row r="94">
      <c r="A94" s="86" t="inlineStr">
        <is>
          <t>R-07</t>
        </is>
      </c>
      <c r="B94" s="86" t="inlineStr">
        <is>
          <t>暂缓</t>
        </is>
      </c>
      <c r="C94" s="86" t="inlineStr">
        <is>
          <t>P2</t>
        </is>
      </c>
      <c r="D94" s="86" t="inlineStr">
        <is>
          <t>角色</t>
        </is>
      </c>
      <c r="E94" s="86" t="inlineStr">
        <is>
          <t>纠正后的历史复述污染</t>
        </is>
      </c>
      <c r="F94" s="86" t="inlineStr">
        <is>
          <t>supersede 管行；messages 窗口仍可能复述旧事实。</t>
        </is>
      </c>
      <c r="G94" s="86" t="inlineStr">
        <is>
          <t>记债不拆包；X-05 续债。见记忆备忘。</t>
        </is>
      </c>
      <c r="H94" s="87" t="n">
        <v>46310</v>
      </c>
      <c r="I94" s="86" t="n"/>
      <c r="J94" s="86" t="n"/>
      <c r="K94" s="86" t="inlineStr">
        <is>
          <t>二期新增；X-05 续债链</t>
        </is>
      </c>
      <c r="L94" s="86" t="inlineStr">
        <is>
          <t>不适用</t>
        </is>
      </c>
    </row>
    <row r="95">
      <c r="A95" s="86" t="inlineStr">
        <is>
          <t>D-25</t>
        </is>
      </c>
      <c r="B95" s="86" t="inlineStr">
        <is>
          <t>暂缓</t>
        </is>
      </c>
      <c r="C95" s="86" t="inlineStr">
        <is>
          <t>高</t>
        </is>
      </c>
      <c r="D95" s="86" t="inlineStr">
        <is>
          <t>工程债</t>
        </is>
      </c>
      <c r="E95" s="86" t="inlineStr">
        <is>
          <t>无 token 预算 / 注入硬截</t>
        </is>
      </c>
      <c r="F95" s="86" t="inlineStr">
        <is>
          <t>conversations.ts LIMIT 40 等硬截；无 token 估算。</t>
        </is>
      </c>
      <c r="G95" s="86" t="inlineStr">
        <is>
          <t>先补按 token 裁剪注入器，封在注入函数内。阻断 W-01。</t>
        </is>
      </c>
      <c r="H95" s="87" t="n">
        <v>46310</v>
      </c>
      <c r="I95" s="86" t="n"/>
      <c r="J95" s="86" t="n"/>
      <c r="K95" s="86" t="inlineStr">
        <is>
          <t>二期新增；W 前置；见 ARCH-1</t>
        </is>
      </c>
      <c r="L95" s="86" t="inlineStr">
        <is>
          <t>不适用</t>
        </is>
      </c>
    </row>
    <row r="96">
      <c r="A96" s="86" t="inlineStr">
        <is>
          <t>D-26</t>
        </is>
      </c>
      <c r="B96" s="86" t="inlineStr">
        <is>
          <t>暂缓</t>
        </is>
      </c>
      <c r="C96" s="86" t="inlineStr">
        <is>
          <t>高</t>
        </is>
      </c>
      <c r="D96" s="86" t="inlineStr">
        <is>
          <t>工程债</t>
        </is>
      </c>
      <c r="E96" s="86" t="inlineStr">
        <is>
          <t>created_at 双格式 + 存量归一化迁移</t>
        </is>
      </c>
      <c r="F96" s="86" t="inlineStr">
        <is>
          <t>DEFAULT datetime(now) vs toISOString；流逝计算歧义。</t>
        </is>
      </c>
      <c r="G96" s="86" t="inlineStr">
        <is>
          <t>统一单一 UTC；仿 moments__m06 建表回填改名迁存量。阻断 W-02/W-03。</t>
        </is>
      </c>
      <c r="H96" s="87" t="n">
        <v>46310</v>
      </c>
      <c r="I96" s="86" t="n"/>
      <c r="J96" s="86" t="n"/>
      <c r="K96" s="86" t="inlineStr">
        <is>
          <t>二期新增；W 前置；见 ARCH-1</t>
        </is>
      </c>
      <c r="L96" s="86" t="inlineStr">
        <is>
          <t>不适用</t>
        </is>
      </c>
    </row>
  </sheetData>
  <autoFilter ref="A1:K40"/>
  <conditionalFormatting sqref="B2:B80">
    <cfRule type="cellIs" rank="0" priority="2" equalAverage="0" operator="equal" aboveAverage="0" dxfId="9" text="" percent="0" bottom="0">
      <formula>"已处理"</formula>
    </cfRule>
    <cfRule type="cellIs" rank="0" priority="3" equalAverage="0" operator="equal" aboveAverage="0" dxfId="10" text="" percent="0" bottom="0">
      <formula>"待处理"</formula>
    </cfRule>
    <cfRule type="cellIs" rank="0" priority="4" equalAverage="0" operator="equal" aboveAverage="0" dxfId="11" text="" percent="0" bottom="0">
      <formula>"处理中"</formula>
    </cfRule>
    <cfRule type="cellIs" rank="0" priority="5" equalAverage="0" operator="equal" aboveAverage="0" dxfId="11" text="" percent="0" bottom="0">
      <formula>"待确认"</formula>
    </cfRule>
    <cfRule type="cellIs" rank="0" priority="6" equalAverage="0" operator="equal" aboveAverage="0" dxfId="12" text="" percent="0" bottom="0">
      <formula>"暂缓"</formula>
    </cfRule>
  </conditionalFormatting>
  <dataValidations count="2">
    <dataValidation sqref="B2:B80" showDropDown="0" showInputMessage="0" showErrorMessage="0" allowBlank="1" errorTitle="状态" error="请使用下拉状态" promptTitle="状态" prompt="选择状态" type="list" errorStyle="stop" operator="between">
      <formula1>"待处理,处理中,待确认,已处理,暂缓"</formula1>
      <formula2>0</formula2>
    </dataValidation>
    <dataValidation sqref="C2:C80" showDropDown="0" showInputMessage="0" showErrorMessage="0" allowBlank="1" type="list" errorStyle="stop" operator="between">
      <formula1>"P0,P1,P2,P3"</formula1>
      <formula2>0</formula2>
    </dataValidation>
  </dataValidations>
  <printOptions horizontalCentered="0" verticalCentered="0" headings="0" gridLines="0" gridLinesSet="1"/>
  <pageMargins left="0.75" right="0.75" top="1" bottom="1" header="0.5" footer="0.5"/>
  <pageSetup orientation="landscape" paperSize="9" scale="100" fitToHeight="1" fitToWidth="1" pageOrder="downThenOver" blackAndWhite="0" draft="0" horizontalDpi="300" verticalDpi="300" copies="1"/>
  <headerFooter differentOddEven="0" differentFirst="0">
    <oddHeader>&amp;L酒馆 Agent Chat · 问题记录</oddHeader>
    <oddFooter>&amp;R第 &amp;P 页 / 共 &amp;N 页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tabColor rgb="FF1F4E3D"/>
    <outlinePr summaryBelow="1" summaryRight="1"/>
    <pageSetUpPr fitToPage="1"/>
  </sheetPr>
  <dimension ref="A1:F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6" customWidth="1" style="40" min="1" max="1"/>
    <col width="92" customWidth="1" style="40" min="2" max="2"/>
  </cols>
  <sheetData>
    <row r="1" ht="27.75" customHeight="1" s="41">
      <c r="A1" s="66" t="inlineStr">
        <is>
          <t>Agent Chat · 在线问题记录（文件名 AgentChat-问题记录.xlsx；产品是多角色社交，不是跑团）</t>
        </is>
      </c>
    </row>
    <row r="2" ht="16.5" customHeight="1" s="41">
      <c r="A2" s="67" t="inlineStr">
        <is>
          <t>仓库：github.com/2020638630/agent-chat　　本机：D:\Agent-chat\agent-chat　　建立日期：2026-09-13</t>
        </is>
      </c>
    </row>
    <row r="4" ht="15" customHeight="1" s="41">
      <c r="A4" s="68" t="inlineStr">
        <is>
          <t>字段</t>
        </is>
      </c>
      <c r="B4" s="68" t="inlineStr">
        <is>
          <t>说明</t>
        </is>
      </c>
    </row>
    <row r="5" ht="36" customHeight="1" s="41">
      <c r="A5" s="69" t="inlineStr">
        <is>
          <t>怎么用</t>
        </is>
      </c>
      <c r="B5" s="70" t="inlineStr">
        <is>
          <t>本表给产品体验和开发排期用。新问题只在「问题记录」最后一行追加，不要改 ID 规则。</t>
        </is>
      </c>
    </row>
    <row r="6" ht="36" customHeight="1" s="41">
      <c r="A6" s="69" t="inlineStr">
        <is>
          <t>状态怎么填</t>
        </is>
      </c>
      <c r="B6" s="70" t="inlineStr">
        <is>
          <t>待处理 / 处理中 / 待确认 / 已处理 / 暂缓。新增默认「待处理」；Grok Bot 开始改标「处理中」；你本地点过但还想再看标「待确认」；收口标「已处理」并补关闭日期。</t>
        </is>
      </c>
    </row>
    <row r="7" ht="36" customHeight="1" s="41">
      <c r="A7" s="69" t="inlineStr">
        <is>
          <t>优先级</t>
        </is>
      </c>
      <c r="B7" s="71" t="inlineStr">
        <is>
          <t>P0 阻断使用　　P1 明显别扭但有变通　　P2 体验优化　　P3 以后再说。</t>
        </is>
      </c>
    </row>
    <row r="8" ht="36" customHeight="1" s="41">
      <c r="A8" s="40" t="inlineStr">
        <is>
          <t>远程状态（L 列）</t>
        </is>
      </c>
      <c r="B8" s="40" t="inlineStr">
        <is>
          <t>已 push＝已合入远程；未 push＝仅本机；不适用＝暂缓未开工/规划占位/非功能行。</t>
        </is>
      </c>
    </row>
    <row r="9" ht="36" customHeight="1" s="41">
      <c r="A9" s="69" t="inlineStr">
        <is>
          <t>2026-10-10：一期七类冒烟通过（BF tip 65cf58e），一期可收口。二期前四刀 ARCH-1→M-05a→X-01→ARCH-2；UI-1 第五/可并行。UI-1～6、ARCH-1 补扫6项已落表。；2026-10-10 M-05a 已处理（由 M-06 覆盖，仅文档收口）；2026-10-10 17:12 CST BF 远程 tip eb48fbb（含 1b3b635 ARCH-1、c220bbf M-05a 关单、eb48fbb stash备注+上墙补验）；对齐 tip 83e9ab6（2026-10-10 17:13 CST）；2026-10-10 17:22 CST X-01 三条验证关单（PATCH↔GET / 私聊用人设 / UI 入口 API+接线）；对齐 tip cac031c（2026-10-10 17:23 CST）。；2026-10-10 ARCH-2 已处理（Provider+.env+D-05；tip 见问题行）。；2026-10-10 20:30 CST ARCH-2 验收补记+清表：D-05=纯[memory.obs]日志无用户侧失败信号；五入口均进 providers；X-01 最终 tip 0fce6d8；ARCH-2→待处理（管道已交关单待试跑线）；ARCH-3→待处理；O-03 已处理；下一顺序 试跑线→ARCH-3→UI-1；N-02 不动。</t>
        </is>
      </c>
      <c r="B9" s="70" t="inlineStr">
        <is>
          <t>a2be134</t>
        </is>
      </c>
    </row>
    <row r="10" ht="36" customHeight="1" s="41">
      <c r="A10" s="69" t="inlineStr">
        <is>
          <t>不要写进表的</t>
        </is>
      </c>
      <c r="B10" s="71" t="inlineStr">
        <is>
          <t>GitHub token、DeepSeek Key、.env 内容。Commit 只写短哈希。</t>
        </is>
      </c>
    </row>
    <row r="11">
      <c r="A11" s="69" t="inlineStr">
        <is>
          <t>和代码的关系</t>
        </is>
      </c>
      <c r="B11" s="70" t="inlineStr">
        <is>
          <t>已处理行尽量补「本地 commit」与 L 列「远程状态」（已 push / 未 push / 不适用）。每次 push 后同步：本地 commit、远程状态、使用说明顶部 tip。暂缓项写清触发条件；满足后改待处理。文档 commit 也记一笔。</t>
        </is>
      </c>
    </row>
    <row r="12" ht="15" customHeight="1" s="41"/>
    <row r="13">
      <c r="A13" s="72" t="inlineStr">
        <is>
          <t>状态色例</t>
        </is>
      </c>
      <c r="B13" s="73" t="inlineStr">
        <is>
          <t>待处理</t>
        </is>
      </c>
      <c r="C13" s="74" t="inlineStr">
        <is>
          <t>处理中</t>
        </is>
      </c>
      <c r="D13" s="74" t="inlineStr">
        <is>
          <t>待确认</t>
        </is>
      </c>
      <c r="E13" s="75" t="inlineStr">
        <is>
          <t>已处理</t>
        </is>
      </c>
      <c r="F13" s="76" t="inlineStr">
        <is>
          <t>暂缓</t>
        </is>
      </c>
    </row>
    <row r="14">
      <c r="A14" s="83" t="n">
        <v>46305.86458333334</v>
      </c>
      <c r="B14" s="40" t="inlineStr">
        <is>
          <t>ARCH-2 试跑线 2/3</t>
        </is>
      </c>
      <c r="C14" s="40" t="inlineStr">
        <is>
          <t>DeepSeek 通；硅基 VLM 通；Gemini TTS 缺 GEMINI_API_KEY；真关单否；B-04d 仍暂缓；下一补钥或 ARCH-3 等拍板</t>
        </is>
      </c>
    </row>
  </sheetData>
  <mergeCells count="2">
    <mergeCell ref="A2:F2"/>
    <mergeCell ref="A1:F1"/>
  </mergeCells>
  <printOptions horizontalCentered="0" verticalCentered="0" headings="0" gridLines="0" gridLinesSet="1"/>
  <pageMargins left="0.75" right="0.75" top="1" bottom="1" header="0.5" footer="0.5"/>
  <pageSetup orientation="landscape" paperSize="9" scale="100" fitToHeight="1" fitToWidth="1" pageOrder="downThenOver" blackAndWhite="0" draft="0" horizontalDpi="300" verticalDpi="300" copies="1"/>
  <headerFooter differentOddEven="0" differentFirst="0">
    <oddHeader>&amp;L酒馆 Agent Chat · 问题记录</oddHeader>
    <oddFooter>&amp;R第 &amp;P 页 / 共 &amp;N 页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tabColor rgb="FF95EC69"/>
    <outlinePr summaryBelow="1" summaryRight="1"/>
    <pageSetUpPr fitToPage="1"/>
  </sheetPr>
  <dimension ref="A1:C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40" min="1" max="1"/>
    <col width="12" customWidth="1" style="40" min="2" max="2"/>
    <col width="20" customWidth="1" style="40" min="3" max="3"/>
  </cols>
  <sheetData>
    <row r="1" ht="21.75" customHeight="1" s="41">
      <c r="A1" s="66" t="inlineStr">
        <is>
          <t>问题状态统计</t>
        </is>
      </c>
    </row>
    <row r="2" ht="15" customHeight="1" s="41">
      <c r="A2" s="77" t="inlineStr">
        <is>
          <t>数据来自「问题记录」B 列，新增行后此表会按公式自动变（打开时 Excel 会计算）。</t>
        </is>
      </c>
    </row>
    <row r="4" ht="15" customHeight="1" s="41">
      <c r="A4" s="68" t="inlineStr">
        <is>
          <t>状态</t>
        </is>
      </c>
      <c r="B4" s="68" t="inlineStr">
        <is>
          <t>条数</t>
        </is>
      </c>
    </row>
    <row r="5" ht="15" customHeight="1" s="41">
      <c r="A5" s="78" t="inlineStr">
        <is>
          <t>待处理</t>
        </is>
      </c>
      <c r="B5" s="79">
        <f>COUNTIF(问题记录!B:B,A5)</f>
        <v/>
      </c>
    </row>
    <row r="6" ht="15" customHeight="1" s="41">
      <c r="A6" s="78" t="inlineStr">
        <is>
          <t>处理中</t>
        </is>
      </c>
      <c r="B6" s="79">
        <f>COUNTIF(问题记录!B:B,A6)</f>
        <v/>
      </c>
    </row>
    <row r="7" ht="15" customHeight="1" s="41">
      <c r="A7" s="78" t="inlineStr">
        <is>
          <t>待确认</t>
        </is>
      </c>
      <c r="B7" s="79">
        <f>COUNTIF(问题记录!B:B,A7)</f>
        <v/>
      </c>
    </row>
    <row r="8" ht="15" customHeight="1" s="41">
      <c r="A8" s="78" t="inlineStr">
        <is>
          <t>已处理</t>
        </is>
      </c>
      <c r="B8" s="79">
        <f>COUNTIF(问题记录!B:B,A8)</f>
        <v/>
      </c>
    </row>
    <row r="9" ht="15" customHeight="1" s="41">
      <c r="A9" s="78" t="inlineStr">
        <is>
          <t>暂缓</t>
        </is>
      </c>
      <c r="B9" s="79">
        <f>COUNTIF(问题记录!B:B,A9)</f>
        <v/>
      </c>
    </row>
    <row r="11" ht="15" customHeight="1" s="41">
      <c r="A11" s="72" t="inlineStr">
        <is>
          <t>合计（不含表头）</t>
        </is>
      </c>
      <c r="B11" s="72">
        <f>SUM(B5:B9)</f>
        <v/>
      </c>
    </row>
    <row r="13" ht="15" customHeight="1" s="41">
      <c r="A13" s="80" t="inlineStr">
        <is>
          <t>P0 仍待处理</t>
        </is>
      </c>
      <c r="B13" s="80">
        <f>COUNTIFS(问题记录!B:B,"待处理",问题记录!C:C,"P0")</f>
        <v/>
      </c>
    </row>
    <row r="14" ht="15" customHeight="1" s="41">
      <c r="A14" s="80" t="inlineStr">
        <is>
          <t>P1 仍待处理</t>
        </is>
      </c>
      <c r="B14" s="80">
        <f>COUNTIFS(问题记录!B:B,"待处理",问题记录!C:C,"P1")</f>
        <v/>
      </c>
    </row>
    <row r="15">
      <c r="A15" s="40" t="inlineStr">
        <is>
          <t>未 push 条数</t>
        </is>
      </c>
      <c r="B15" s="40">
        <f>COUNTIF(问题记录!L:L,"未 push")</f>
        <v/>
      </c>
    </row>
    <row r="16">
      <c r="A16" s="40" t="inlineStr">
        <is>
          <t>已 push 条数</t>
        </is>
      </c>
      <c r="B16" s="40">
        <f>COUNTIF(问题记录!L:L,"已 push")</f>
        <v/>
      </c>
    </row>
    <row r="17" ht="15" customHeight="1" s="41">
      <c r="A17" s="81" t="inlineStr">
        <is>
          <t>待办自动列表（状态＝待处理/处理中）</t>
        </is>
      </c>
    </row>
    <row r="18" ht="15" customHeight="1" s="41">
      <c r="A18" s="80" t="inlineStr">
        <is>
          <t>待处理/处理中条数</t>
        </is>
      </c>
      <c r="B18" s="40">
        <f>COUNTIF(问题记录!B:B,"待处理")+COUNTIF(问题记录!B:B,"处理中")</f>
        <v/>
      </c>
    </row>
    <row r="19" ht="15" customHeight="1" s="41">
      <c r="A19" s="80" t="inlineStr">
        <is>
          <t>ID 列表（自动）</t>
        </is>
      </c>
      <c r="B19" s="40">
        <f>TEXTJOIN("；",TRUE,IF(((问题记录!B$2:B$200="待处理")+(问题记录!B$2:B$200="处理中"))&gt;0,问题记录!A$2:A$200&amp;" "&amp;问题记录!E$2:E$200,""))</f>
        <v/>
      </c>
    </row>
    <row r="20" ht="15" customHeight="1" s="41">
      <c r="A20" s="80" t="inlineStr">
        <is>
          <t>下一候选（人工）</t>
        </is>
      </c>
      <c r="B20" s="40" t="inlineStr">
        <is>
          <t>X-07 已关（空间赞/评上限可调）。参数待明确：TTL 7d、静默默认。池：D-11 .env / D-22 smoke。挂：Gemini；X05-D3/D4；D6=off；N-02。X-02/X-04 未开。</t>
        </is>
      </c>
    </row>
    <row r="21" ht="15" customHeight="1" s="41">
      <c r="A21" s="80" t="inlineStr">
        <is>
          <t>远程 tip（人工）</t>
        </is>
      </c>
      <c r="B21" s="40" t="inlineStr">
        <is>
          <t>a2be134</t>
        </is>
      </c>
    </row>
    <row r="22">
      <c r="A22" s="40" t="inlineStr">
        <is>
          <t>2026-10-13 X-04关3f9f54b；D-11/D-22关bccadb9；X-02暂缓等视觉；HY键名待运维</t>
        </is>
      </c>
    </row>
    <row r="23">
      <c r="A23" s="40" t="inlineStr">
        <is>
          <t>2026-10-13 D-22全关 bccadb9；D-11部分关（HY待补）；X-02开做 uploads+path</t>
        </is>
      </c>
    </row>
    <row r="24">
      <c r="A24" s="40" t="inlineStr">
        <is>
          <t>2026-10-13 D-11 全关（HY 键名已补）</t>
        </is>
      </c>
    </row>
    <row r="25">
      <c r="A25" s="40" t="inlineStr">
        <is>
          <t>2026-10-13 EOD：tip 3d18db9 ahead0；X-02/6eed178 X-04/3f9f54b(App1620) X-06/c0b46e1 X-07/eb0bb54 D-11/0a153f5 D-22/bccadb9 均已关；App.vue 2446→1527→1554→1590→1620(X-04)→1655(X-02)；参数待明确 TTL7d/静默23-08/2静1开；下一评 M-05b</t>
        </is>
      </c>
    </row>
    <row r="26">
      <c r="A26" s="40" t="inlineStr">
        <is>
          <t>2026-10-13 补记：远程 tip（人工）=2332424；待明确：TTL 7天、静默 23:00–08:00、X-07 赞/评上限（及表上已有的 2静1开）；下一候选 M-05b；N-02/Gemini/X05 残债不动。</t>
        </is>
      </c>
      <c r="B26" s="40" t="inlineStr">
        <is>
          <t>a2be134</t>
        </is>
      </c>
    </row>
    <row r="27">
      <c r="A27" s="40" t="inlineStr">
        <is>
          <t>2026-10-14 参数三条已定：TTL=7；静默23:00–08:00；X-07赞2评1 + 2静1开。docs-only，无功能刀。</t>
        </is>
      </c>
    </row>
    <row r="28">
      <c r="A28" s="40" t="inlineStr">
        <is>
          <t>2026-10-14 第0步：B-04c 关 af133b9；B-04d→待实打(6263381)；D-03 基线 864→1034；App.vue 1655→1683（M-05b+28）；见 EOD-2026-10-14.md</t>
        </is>
      </c>
    </row>
  </sheetData>
  <mergeCells count="2">
    <mergeCell ref="A1:C1"/>
    <mergeCell ref="A2:C2"/>
  </mergeCells>
  <printOptions horizontalCentered="0" verticalCentered="0" headings="0" gridLines="0" gridLinesSet="1"/>
  <pageMargins left="0.75" right="0.75" top="1" bottom="1" header="0.5" footer="0.5"/>
  <pageSetup orientation="landscape" paperSize="9" scale="100" fitToHeight="1" fitToWidth="1" pageOrder="downThenOver" blackAndWhite="0" draft="0" horizontalDpi="300" verticalDpi="300" copies="1"/>
  <headerFooter differentOddEven="0" differentFirst="0">
    <oddHeader>&amp;L酒馆 Agent Chat · 问题记录</oddHeader>
    <oddFooter>&amp;R第 &amp;P 页 / 共 &amp;N 页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2026-09-13T15:10:11Z</dcterms:created>
  <dcterms:modified xmlns:dcterms="http://purl.org/dc/terms/" xmlns:xsi="http://www.w3.org/2001/XMLSchema-instance" xsi:type="dcterms:W3CDTF">2026-10-15T14:23:56Z</dcterms:modified>
  <cp:revision>9</cp:revision>
</cp:coreProperties>
</file>