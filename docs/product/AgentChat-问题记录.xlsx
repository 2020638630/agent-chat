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问题记录" sheetId="1" state="visible" r:id="rId1"/>
    <sheet name="使用说明" sheetId="2" state="visible" r:id="rId2"/>
    <sheet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:mm:ss"/>
    <numFmt numFmtId="166" formatCode="yyyy-mm-dd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1F4E3D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23" fillId="8" borderId="0" applyAlignment="1" pivotButton="0" quotePrefix="0" xfId="0">
      <alignment vertical="center" wrapText="1"/>
    </xf>
    <xf numFmtId="166" fontId="6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top" wrapText="1"/>
    </xf>
    <xf numFmtId="166" fontId="0" fillId="0" borderId="6" applyAlignment="1" pivotButton="0" quotePrefix="0" xfId="0">
      <alignment vertical="top" wrapText="1"/>
    </xf>
    <xf numFmtId="166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/>
        <a:ln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>
              <a:srgbClr val="4f81bd"/>
            </a:solidFill>
            <a:ln w="0">
              <a:noFill/>
              <a:prstDash val="solid"/>
            </a:ln>
          </spPr>
          <explosion val="0"/>
          <dPt>
            <idx val="0"/>
            <spPr>
              <a:solidFill>
                <a:srgbClr val="4f81bd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c0504d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9bbb59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8064a2"/>
              </a:solidFill>
              <a:ln w="0">
                <a:noFill/>
                <a:prstDash val="solid"/>
              </a:ln>
            </spPr>
          </dPt>
          <dPt>
            <idx val="4"/>
            <spPr>
              <a:solidFill>
                <a:srgbClr val="4bacc6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L7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  <col width="12" customWidth="1" style="41" min="12" max="12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  <c r="L1" s="84" t="inlineStr">
        <is>
          <t>远程状态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  <c r="L2" s="40" t="inlineStr">
        <is>
          <t>已 push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  <c r="L3" s="40" t="inlineStr">
        <is>
          <t>已 push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  <c r="L4" s="40" t="inlineStr">
        <is>
          <t>已 push</t>
        </is>
      </c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  <c r="L5" s="40" t="inlineStr">
        <is>
          <t>已 push</t>
        </is>
      </c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  <c r="L6" s="40" t="inlineStr">
        <is>
          <t>已 push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  <c r="L7" s="40" t="inlineStr">
        <is>
          <t>已 push</t>
        </is>
      </c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  <c r="L8" s="40" t="inlineStr">
        <is>
          <t>已 push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  <c r="L9" s="40" t="inlineStr">
        <is>
          <t>已 push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  <c r="L10" s="40" t="inlineStr">
        <is>
          <t>已 push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  <c r="L11" s="40" t="inlineStr">
        <is>
          <t>已 push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  <c r="L12" s="40" t="inlineStr">
        <is>
          <t>已 push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  <c r="L13" s="40" t="inlineStr">
        <is>
          <t>已 push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  <c r="L14" s="40" t="inlineStr">
        <is>
          <t>已 push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 2026-10-10 清备注：对应功能已在远程，去掉过期未合入表述。</t>
        </is>
      </c>
      <c r="L15" s="40" t="inlineStr">
        <is>
          <t>已 push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 2026-09-15 19:56 用户验收关闭。 2026-10-10 清备注：对应功能已在远程，去掉过期未合入表述。</t>
        </is>
      </c>
      <c r="L16" s="40" t="inlineStr">
        <is>
          <t>已 push</t>
        </is>
      </c>
    </row>
    <row r="17" ht="51.75" customHeight="1" s="41">
      <c r="A17" s="44" t="inlineStr">
        <is>
          <t>M-01</t>
        </is>
      </c>
      <c r="B17" s="45" t="inlineStr">
        <is>
          <t>已处理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用户评角色动态后 5～15s 作者回一句；总开关关不回；同动态只回一次。2026-10-09 BF 验收通过；2026-10-10 已上远程 tip 5c8f652（rebase 后哈希；旧 2c2e897 不在 origin）。</t>
        </is>
      </c>
      <c r="H17" s="44" t="inlineStr">
        <is>
          <t>2026-09-13</t>
        </is>
      </c>
      <c r="I17" s="82" t="n">
        <v>46304</v>
      </c>
      <c r="J17" s="44" t="inlineStr">
        <is>
          <t>5c8f652</t>
        </is>
      </c>
      <c r="K17" s="46" t="inlineStr">
        <is>
          <t>原待优化点第 5 条的小方案。 2026-09-16：与 M-07 不同——M-01 是用户评角色动态后作者再回。 2026-10-09 点收； 2026-10-10 备注对齐：已 push，commit=5c8f652。</t>
        </is>
      </c>
      <c r="L17" s="40" t="inlineStr">
        <is>
          <t>已 push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触发：好感度 R-03 立后，再做角色互评/图谱。 原待优化点第 5 条的大方案。</t>
        </is>
      </c>
      <c r="L18" s="40" t="inlineStr">
        <is>
          <t>不适用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inlineStr">
        <is>
          <t>触发：C-05/M-07 稳定且用户明确要定时自动发动态后再开。</t>
        </is>
      </c>
      <c r="L19" s="40" t="inlineStr">
        <is>
          <t>不适用</t>
        </is>
      </c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  <c r="L20" s="40" t="inlineStr">
        <is>
          <t>已 push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  <c r="L21" s="40" t="inlineStr">
        <is>
          <t>已 push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  <c r="L22" s="40" t="inlineStr">
        <is>
          <t>已 push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B-04A 读图 a668a53；B-04B 生图 97ad2c6+b128045（Kolors）。2026-10-09 HY 验收通过，已 push，远程 tip 575967c。Image-Edit/视频仍不在范围。</t>
        </is>
      </c>
      <c r="H23" s="44" t="inlineStr">
        <is>
          <t>2026-09-14</t>
        </is>
      </c>
      <c r="I23" s="82" t="n">
        <v>46304</v>
      </c>
      <c r="J23" s="44" t="inlineStr">
        <is>
          <t>a668a53 / 97ad2c6 / b128045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 2026-09-15 20:27 主路径可见，体验三条记 B-06。 2026-09-15 20:48 用户验收关闭语音部分。图片仍暂缓。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 2026-10-09 点收并 push 2981fa3..575967c。 2026-10-10 清备注：对应功能已在远程，去掉过期未合入表述。</t>
        </is>
      </c>
      <c r="L23" s="40" t="inlineStr">
        <is>
          <t>已 push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inlineStr">
        <is>
          <t>明确暂缓。U-05 浅色预设已关，不含整站深色。</t>
        </is>
      </c>
      <c r="H24" s="44" t="inlineStr">
        <is>
          <t>2026-09-13</t>
        </is>
      </c>
      <c r="I24" s="44" t="n"/>
      <c r="J24" s="44" t="n"/>
      <c r="K24" s="46" t="inlineStr">
        <is>
          <t>触发：用户明确要整站深色或移动端适配后再开。（U-05 已关，原「完整皮肤体系见 U-05」备注失效。） 2026-10-10：保持触发式；用户明确要整站深色/移动端再开。</t>
        </is>
      </c>
      <c r="L24" s="40" t="inlineStr">
        <is>
          <t>不适用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  <c r="L25" s="40" t="inlineStr">
        <is>
          <t>已 push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 左栏图标第二轮已通过。 2026-10-10 清备注：对应功能已在远程，去掉过期未合入表述。</t>
        </is>
      </c>
      <c r="L26" s="40" t="inlineStr">
        <is>
          <t>已 push</t>
        </is>
      </c>
    </row>
    <row r="27" ht="21.75" customHeight="1" s="41">
      <c r="A27" s="47" t="n"/>
      <c r="B27" s="47" t="n"/>
      <c r="C27" s="47" t="n"/>
      <c r="D27" s="47" t="n"/>
      <c r="E27" s="47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  <c r="L28" s="40" t="inlineStr">
        <is>
          <t>已 push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  <c r="L29" s="40" t="inlineStr">
        <is>
          <t>已 push</t>
        </is>
      </c>
    </row>
    <row r="30" ht="55.5" customHeight="1" s="41">
      <c r="A30" s="44" t="inlineStr">
        <is>
          <t>M-05</t>
        </is>
      </c>
      <c r="B30" s="52" t="inlineStr">
        <is>
          <t>暂缓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动态配图（总项，见 M-05a/b）</t>
        </is>
      </c>
      <c r="F30" s="46" t="inlineStr">
        <is>
          <t>总项拆为 M-05a 仅上传、M-05b 含生图。二期顺序先 M-05a。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触发：生图成本闸门可接受，或先做仅上传配图后再开。 用户 2026-09-14 提出。生成配图依赖 B-04；纯上传可更早。 2026-09-16 产品判断：无生图时给角色动态配用户相册图不成立；若要配图需用户发动态（M-06 已关）或等生图。 2026-10-10 拆 M-05a/b；总项保持索引。 2026-10-10：M-05a 已处理（由 M-06 覆盖）；M-05b 仍暂缓。</t>
        </is>
      </c>
      <c r="L30" s="40" t="inlineStr">
        <is>
          <t>不适用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  <c r="L31" s="40" t="inlineStr">
        <is>
          <t>已 push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  <c r="L32" s="40" t="inlineStr">
        <is>
          <t>已 push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 2026-09-17 用户截图确认：未打开会话时列表预览+红点；点进可见主动气泡。关单仍等 C-03 清红点收口。 2026-09-17 与 C-03 一并关单。 2026-10-10 清备注：对应功能已在远程，去掉过期未合入表述。</t>
        </is>
      </c>
      <c r="L33" s="40" t="inlineStr">
        <is>
          <t>已 push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 2026-09-15 20:48 用户验收关闭。 2026-10-10 清备注：对应功能已在远程，去掉过期未合入表述。</t>
        </is>
      </c>
      <c r="L34" s="40" t="inlineStr">
        <is>
          <t>已 push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 2026-10-10 清备注：对应功能已在远程，去掉过期未合入表述。</t>
        </is>
      </c>
      <c r="L35" s="40" t="inlineStr">
        <is>
          <t>已 push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  <c r="L36" s="40" t="inlineStr">
        <is>
          <t>已 push</t>
        </is>
      </c>
    </row>
    <row r="37" ht="21.75" customHeight="1" s="41">
      <c r="A37" s="44" t="inlineStr">
        <is>
          <t>M-07</t>
        </is>
      </c>
      <c r="B37" s="55" t="inlineStr">
        <is>
          <t>已处理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角色可对用户动态点赞/短评；全场每拍至多一人。已上远程 676802c / 2981fa3（M-07b 日 cap 展示与赞头像）。续债：空间反应与私聊主动日 cap 解耦见 C-06（待用户点头）。</t>
        </is>
      </c>
      <c r="H37" s="44" t="inlineStr">
        <is>
          <t>2026-09-16</t>
        </is>
      </c>
      <c r="I37" s="85" t="n">
        <v>46282</v>
      </c>
      <c r="J37" s="44" t="inlineStr">
        <is>
          <t>676802c / 2981fa3</t>
        </is>
      </c>
      <c r="K37" s="46" t="inlineStr">
        <is>
          <t>用户 2026-09-16 提出。产品判断：先记录，不补进已发出的 M-06 包。 2026-09-16 与 C-05 共用主动互动备忘；出口不同，不合并开发包。 2026-10-10：表状态对齐远程——功能已上 2981fa3；续债见 C-06，勿再标暂缓。</t>
        </is>
      </c>
      <c r="L37" s="40" t="inlineStr">
        <is>
          <t>已 push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 2026-10-10 清备注：对应功能已在远程，去掉过期未合入表述。</t>
        </is>
      </c>
      <c r="L38" s="40" t="inlineStr">
        <is>
          <t>已 push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  <c r="L39" s="40" t="inlineStr">
        <is>
          <t>已 push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 2026-10-10 清备注：对应功能已在远程，去掉过期未合入表述。</t>
        </is>
      </c>
      <c r="L40" s="40" t="inlineStr">
        <is>
          <t>已 push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触发：用户明确要对话/提炼分通道后再开正式刀。 R-04x 尖兵 575967c 已完（夹具报告+默认 off）；不强开真 Laya。 先做 R-02 注入必答补丁（已关）。 2026-10-10：二期定为 P3。</t>
        </is>
      </c>
      <c r="L41" s="40" t="inlineStr">
        <is>
          <t>不适用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  <c r="L42" s="40" t="inlineStr">
        <is>
          <t>已 push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n">
        <v>46283</v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  <c r="L43" s="40" t="inlineStr">
        <is>
          <t>已 push</t>
        </is>
      </c>
    </row>
    <row r="44" ht="43.5" customHeight="1" s="41">
      <c r="A44" s="40" t="inlineStr">
        <is>
          <t>R-04x</t>
        </is>
      </c>
      <c r="B44" s="40" t="inlineStr">
        <is>
          <t>已处理</t>
        </is>
      </c>
      <c r="C44" s="40" t="inlineStr">
        <is>
          <t>P3</t>
        </is>
      </c>
      <c r="D44" s="40" t="inlineStr">
        <is>
          <t>角色</t>
        </is>
      </c>
      <c r="E44" s="40" t="inlineStr">
        <is>
          <t>Laya 本机记忆门控尖兵</t>
        </is>
      </c>
      <c r="F44" s="40" t="inlineStr">
        <is>
          <t>用开源决策模型做写/不写门控评测；默认不进生产。</t>
        </is>
      </c>
      <c r="G44" s="40" t="inlineStr">
        <is>
          <t>夹具24条启发式约95.8%；MEMORY_GATE_BACKEND 默认 off；Laya 本机已装。2026-10-09 点收并随 575967c push。</t>
        </is>
      </c>
      <c r="H44" s="83" t="n">
        <v>46286</v>
      </c>
      <c r="I44" s="83" t="n">
        <v>46304</v>
      </c>
      <c r="J44" s="40" t="inlineStr">
        <is>
          <t>575967c</t>
        </is>
      </c>
      <c r="K44" s="40" t="inlineStr">
        <is>
          <t>不强开真 Laya；正式分模型仍见 R-04。</t>
        </is>
      </c>
      <c r="L44" s="40" t="inlineStr">
        <is>
          <t>已 push</t>
        </is>
      </c>
    </row>
    <row r="45" ht="15" customHeight="1" s="41">
      <c r="A45" s="40" t="inlineStr">
        <is>
          <t>C-06</t>
        </is>
      </c>
      <c r="B45" s="40" t="inlineStr">
        <is>
          <t>已处理</t>
        </is>
      </c>
      <c r="C45" s="40" t="inlineStr">
        <is>
          <t>P2</t>
        </is>
      </c>
      <c r="D45" s="40" t="inlineStr">
        <is>
          <t>会话</t>
        </is>
      </c>
      <c r="E45" s="40" t="inlineStr">
        <is>
          <t>空间赞评与私聊主动日 cap 解耦</t>
        </is>
      </c>
      <c r="F45" s="40" t="inlineStr">
        <is>
          <t>sent_today 满后 M-07 空间结算被 daily_cap 跳过，用户发动态无角色赞评。</t>
        </is>
      </c>
      <c r="G45" s="40" t="inlineStr">
        <is>
          <t>空间结算不再因 sent_today&gt;=daily_cap 跳过；私聊主动仍受日 cap；总开关关两边都停。2026-10-10 代验通过，已在远程 57e92bc。</t>
        </is>
      </c>
      <c r="H45" s="83" t="n">
        <v>46305</v>
      </c>
      <c r="I45" s="83" t="n">
        <v>46305</v>
      </c>
      <c r="J45" s="40" t="inlineStr">
        <is>
          <t>57e92bc</t>
        </is>
      </c>
      <c r="K45" s="40" t="inlineStr">
        <is>
          <t>2026-10-10 点收并已在 origin。 2026-10-10 ARCH-1：功能池登记 D-04（M-01 仍吃私聊 daily_cap，与 C-06 后 M-07 空间不受 cap 不一致）→ 与 C-06 同组 P2，不进 ARCH-2/3。详见 docs/product/ARCH-1-债清单.md。</t>
        </is>
      </c>
      <c r="L45" s="40" t="inlineStr">
        <is>
          <t>已 push</t>
        </is>
      </c>
    </row>
    <row r="46" ht="15" customHeight="1" s="41">
      <c r="A46" s="86" t="inlineStr">
        <is>
          <t>N-01</t>
        </is>
      </c>
      <c r="B46" s="86" t="inlineStr">
        <is>
          <t>暂缓</t>
        </is>
      </c>
      <c r="C46" s="86" t="inlineStr">
        <is>
          <t>P2</t>
        </is>
      </c>
      <c r="D46" s="86" t="inlineStr">
        <is>
          <t>工程</t>
        </is>
      </c>
      <c r="E46" s="86" t="inlineStr">
        <is>
          <t>生图素材库 + 检索决策 + 生成入库</t>
        </is>
      </c>
      <c r="F46" s="86" t="inlineStr">
        <is>
          <t>规划占位：建生图素材库，检索决策后再生成并入库复用。</t>
        </is>
      </c>
      <c r="G46" s="86" t="inlineStr">
        <is>
          <t>明确暂缓，先占位不拆包。</t>
        </is>
      </c>
      <c r="H46" s="87" t="n">
        <v>46305</v>
      </c>
      <c r="I46" s="86" t="n"/>
      <c r="J46" s="86" t="n"/>
      <c r="K46" s="86" t="inlineStr">
        <is>
          <t>来源：用户 2026-10-10 规划占位。触发：B-04 生图稳定且用户要素材复用/成本闸门后再开。</t>
        </is>
      </c>
      <c r="L46" s="86" t="inlineStr">
        <is>
          <t>不适用</t>
        </is>
      </c>
    </row>
    <row r="47" ht="15" customHeight="1" s="41">
      <c r="A47" s="86" t="inlineStr">
        <is>
          <t>N-02</t>
        </is>
      </c>
      <c r="B47" s="86" t="inlineStr">
        <is>
          <t>暂缓</t>
        </is>
      </c>
      <c r="C47" s="86" t="inlineStr">
        <is>
          <t>P2</t>
        </is>
      </c>
      <c r="D47" s="86" t="inlineStr">
        <is>
          <t>工程</t>
        </is>
      </c>
      <c r="E47" s="86" t="inlineStr">
        <is>
          <t>动态模型路由（Nano Banana / GPT Image / Qwen）</t>
        </is>
      </c>
      <c r="F47" s="86" t="inlineStr">
        <is>
          <t>规划占位：按场景在多生图/多模态模型间动态路由。</t>
        </is>
      </c>
      <c r="G47" s="86" t="inlineStr">
        <is>
          <t>明确暂缓，先占位不拆包。</t>
        </is>
      </c>
      <c r="H47" s="87" t="n">
        <v>46305</v>
      </c>
      <c r="I47" s="86" t="n"/>
      <c r="J47" s="86" t="n"/>
      <c r="K47" s="86" t="inlineStr">
        <is>
          <t>来源：用户 2026-10-10 规划占位。触发：用户选定多模型供应商与路由规则后再开。 2026-10-10：提前至二期中后段；与 ARCH-2 共挂 API 试跑线（本地/硅基/官方；DeepSeek 文本、官方 VLM、Gemini TTS）。</t>
        </is>
      </c>
      <c r="L47" s="86" t="inlineStr">
        <is>
          <t>不适用</t>
        </is>
      </c>
    </row>
    <row r="48" ht="15" customHeight="1" s="41">
      <c r="A48" s="86" t="inlineStr">
        <is>
          <t>N-03</t>
        </is>
      </c>
      <c r="B48" s="86" t="inlineStr">
        <is>
          <t>暂缓</t>
        </is>
      </c>
      <c r="C48" s="86" t="inlineStr">
        <is>
          <t>P2</t>
        </is>
      </c>
      <c r="D48" s="86" t="inlineStr">
        <is>
          <t>工程</t>
        </is>
      </c>
      <c r="E48" s="86" t="inlineStr">
        <is>
          <t>账单统计（按模型/功能/复用 vs 生成）</t>
        </is>
      </c>
      <c r="F48" s="86" t="inlineStr">
        <is>
          <t>规划占位：按模型、功能、素材复用 vs 新生成统计用量与费用。</t>
        </is>
      </c>
      <c r="G48" s="86" t="inlineStr">
        <is>
          <t>明确暂缓，先占位不拆包。</t>
        </is>
      </c>
      <c r="H48" s="87" t="n">
        <v>46305</v>
      </c>
      <c r="I48" s="86" t="n"/>
      <c r="J48" s="86" t="n"/>
      <c r="K48" s="86" t="inlineStr">
        <is>
          <t>来源：用户 2026-10-10 规划占位。触发：生图/多模型正式启用且用户要看账单后再开。</t>
        </is>
      </c>
      <c r="L48" s="86" t="inlineStr">
        <is>
          <t>不适用</t>
        </is>
      </c>
    </row>
    <row r="49" ht="15" customHeight="1" s="41">
      <c r="A49" s="40" t="inlineStr">
        <is>
          <t>M-05a</t>
        </is>
      </c>
      <c r="B49" s="40" t="inlineStr">
        <is>
          <t>已处理</t>
        </is>
      </c>
      <c r="C49" s="40" t="inlineStr">
        <is>
          <t>P1</t>
        </is>
      </c>
      <c r="D49" s="40" t="inlineStr">
        <is>
          <t>朋友圈</t>
        </is>
      </c>
      <c r="E49" s="40" t="inlineStr">
        <is>
          <t>动态配图第一刀：仅上传</t>
        </is>
      </c>
      <c r="F49" s="40" t="inlineStr">
        <is>
          <t>发动态可附一张上传图进时间线；不接生图。</t>
        </is>
      </c>
      <c r="G49" s="40" t="inlineStr">
        <is>
          <t>能力已由 M-06（7293da3）交付：发动态可选附一张上传图（multipart + image_path 时间线展示）；不接生图。2026-10-10 gap 审计确认前后端齐全，本刀仅文档收口。 2026-10-10 17:12 CST 补验：空间发带图动态，图正常上墙（multipart→image_path 回写+可取）。</t>
        </is>
      </c>
      <c r="H49" s="83" t="n">
        <v>46305</v>
      </c>
      <c r="I49" s="88" t="n">
        <v>46305</v>
      </c>
      <c r="J49" s="40" t="inlineStr">
        <is>
          <t>7293da3（能力）/ c220bbf+eb48fbb+83e9ab6（docs）</t>
        </is>
      </c>
      <c r="K49" s="40" t="inlineStr">
        <is>
          <t>二期前四刀第2：ARCH-1 后。 2026-10-10 BF gap：composer/createMyMoment/POST /api/moments multipart/时间线 image_path 均已在；角色 /generate 仍 image_path=NULL（产品备注：无生图时给角色配用户相册图不成立）。由 M-06 覆盖，本刀不改业务代码。 2026-10-10 17:12 CST 实际验证：curl/urllib multipart POST /api/moments（content+file=既有 uploads/chat-img-*.png），返回 200，image_path=/uploads/moment-3fae9f50-aa89-45c9-9beb-dc89fc5d6695.png；GET /api/moments 顶条即该动态；图 URL HTTP 200（184B）。结论：空间发带图动态，图正常上墙。</t>
        </is>
      </c>
      <c r="L49" s="40" t="inlineStr">
        <is>
          <t>已 push（能力 7293da3；docs tip 83e9ab6）</t>
        </is>
      </c>
    </row>
    <row r="50" ht="15" customHeight="1" s="41">
      <c r="A50" s="40" t="inlineStr">
        <is>
          <t>M-05b</t>
        </is>
      </c>
      <c r="B50" s="40" t="inlineStr">
        <is>
          <t>暂缓</t>
        </is>
      </c>
      <c r="C50" s="40" t="inlineStr">
        <is>
          <t>P2</t>
        </is>
      </c>
      <c r="D50" s="40" t="inlineStr">
        <is>
          <t>朋友圈</t>
        </is>
      </c>
      <c r="E50" s="40" t="inlineStr">
        <is>
          <t>动态配图含生图</t>
        </is>
      </c>
      <c r="F50" s="40" t="inlineStr">
        <is>
          <t>动态配图可走生图；先复用 B-04B，不绑 N-01 素材库。</t>
        </is>
      </c>
      <c r="H50" s="83" t="n">
        <v>46305</v>
      </c>
      <c r="K50" s="40" t="inlineStr">
        <is>
          <t>触发：M-05a 稳且要生图配图。</t>
        </is>
      </c>
      <c r="L50" s="40" t="inlineStr">
        <is>
          <t>不适用</t>
        </is>
      </c>
    </row>
    <row r="51" ht="15" customHeight="1" s="41">
      <c r="A51" s="40" t="inlineStr">
        <is>
          <t>X-01</t>
        </is>
      </c>
      <c r="B51" s="40" t="inlineStr">
        <is>
          <t>已处理</t>
        </is>
      </c>
      <c r="C51" s="40" t="inlineStr">
        <is>
          <t>P1</t>
        </is>
      </c>
      <c r="D51" s="40" t="inlineStr">
        <is>
          <t>角色</t>
        </is>
      </c>
      <c r="E51" s="40" t="inlineStr">
        <is>
          <t>人设编辑</t>
        </is>
      </c>
      <c r="F51" s="40" t="inlineStr">
        <is>
          <t>导入后可在客户端编辑人设字段并保存，无需整卡覆盖导入。</t>
        </is>
      </c>
      <c r="G51" s="40" t="inlineStr">
        <is>
          <t>导入后可在客户端字段级编辑并 PATCH 保存，无需整卡覆盖导入；聊天记录保留。2026-10-10 17:22 CST 三条验证通过后关单：PATCH↔GET 一致；私聊仍用人设（buildSystemPrompt 读库新字段）；通讯录⋯/角色主页「编辑人设」入口可达（API 级开保存 + UI 接线核对）。</t>
        </is>
      </c>
      <c r="H51" s="83" t="n">
        <v>46305</v>
      </c>
      <c r="I51" s="88" t="n">
        <v>46305</v>
      </c>
      <c r="J51" s="40" t="inlineStr">
        <is>
          <t>0fce6d8</t>
        </is>
      </c>
      <c r="K51" s="40" t="inlineStr">
        <is>
          <t>二期前四刀第3。 2026-10-10 X-01：后端 GET/PATCH `/api/characters/:id`（name/description/personality/scenario/first_mes/mes_example/system_prompt/post_history_instructions）；前端通讯录/角色主页「编辑人设」表单；不改 avatar、不做 X-02；保存后聊天记录保留；buildSystemPrompt 读库新值。自测 PATCH→GET 通过；web build 顺带修清 clearWhisperTimers / unread 空值。 远程 tip ae4120d（2026-10-10 push）。 2026-10-10 17:22 CST 三条验证关单：1) PATCH description/personality 后 GET 一致，已还原原值；2) 私聊 POST /api/conversations/:id/messages HTTP 200（苏姐），未炸；成员 JOIN characters ch.* → buildSystemPrompt 读 description/personality（characterCard.ts），PATCH 后新字段入提示；3) UI 入口：App.vue 通讯录⋯与角色主页「编辑人设」→ openPersonaEditor/savePersonaEditor→api.updateCharacter；验证方式为 API 级（GET+PATCH 开保存）+ 静态 UI 接线核对（未点浏览器）。 远程 tip cac031c（2026-10-10 17:23 CST push）。 2026-10-10 20:30 CST 哈希对齐：最终 tip 定为 0fce6d8（能力 ae4120d → tip对齐 9d5bde4 → 三条验证关单 cac031c → tip对齐 0fce6d8）；本地/远程 commit 列统一为 0fce6d8。</t>
        </is>
      </c>
      <c r="L51" s="40" t="inlineStr">
        <is>
          <t>已 push（最终 tip 0fce6d8）</t>
        </is>
      </c>
    </row>
    <row r="52">
      <c r="A52" s="40" t="inlineStr">
        <is>
          <t>X-02</t>
        </is>
      </c>
      <c r="B52" s="40" t="inlineStr">
        <is>
          <t>暂缓</t>
        </is>
      </c>
      <c r="C52" s="40" t="inlineStr">
        <is>
          <t>P2</t>
        </is>
      </c>
      <c r="D52" s="40" t="inlineStr">
        <is>
          <t>角色</t>
        </is>
      </c>
      <c r="E52" s="40" t="inlineStr">
        <is>
          <t>人设参考图</t>
        </is>
      </c>
      <c r="F52" s="40" t="inlineStr">
        <is>
          <t>人设可附参考图供读图/生图对齐画风。</t>
        </is>
      </c>
      <c r="H52" s="83" t="n">
        <v>46305</v>
      </c>
      <c r="K52" s="40" t="inlineStr">
        <is>
          <t>待 X-01 后。</t>
        </is>
      </c>
      <c r="L52" s="40" t="inlineStr">
        <is>
          <t>不适用</t>
        </is>
      </c>
    </row>
    <row r="53">
      <c r="A53" s="40" t="inlineStr">
        <is>
          <t>X-03</t>
        </is>
      </c>
      <c r="B53" s="40" t="inlineStr">
        <is>
          <t>暂缓</t>
        </is>
      </c>
      <c r="C53" s="40" t="inlineStr">
        <is>
          <t>P2</t>
        </is>
      </c>
      <c r="D53" s="40" t="inlineStr">
        <is>
          <t>界面</t>
        </is>
      </c>
      <c r="E53" s="40" t="inlineStr">
        <is>
          <t>daily_cap / 静默时段可调</t>
        </is>
      </c>
      <c r="F53" s="40" t="inlineStr">
        <is>
          <t>主页现仅展示主动日 cap；需可改 daily_cap 与静默起止。</t>
        </is>
      </c>
      <c r="H53" s="83" t="n">
        <v>46305</v>
      </c>
      <c r="K53" s="40" t="inlineStr">
        <is>
          <t>二期可选。</t>
        </is>
      </c>
      <c r="L53" s="40" t="inlineStr">
        <is>
          <t>不适用</t>
        </is>
      </c>
    </row>
    <row r="54">
      <c r="A54" s="40" t="inlineStr">
        <is>
          <t>X-04</t>
        </is>
      </c>
      <c r="B54" s="40" t="inlineStr">
        <is>
          <t>暂缓</t>
        </is>
      </c>
      <c r="C54" s="40" t="inlineStr">
        <is>
          <t>P2</t>
        </is>
      </c>
      <c r="D54" s="40" t="inlineStr">
        <is>
          <t>群聊</t>
        </is>
      </c>
      <c r="E54" s="40" t="inlineStr">
        <is>
          <t>群聊轮询抢话体验</t>
        </is>
      </c>
      <c r="F54" s="40" t="inlineStr">
        <is>
          <t>未 @ 时轮询发言观感抢话/不自然。</t>
        </is>
      </c>
      <c r="H54" s="83" t="n">
        <v>46305</v>
      </c>
      <c r="K54" s="40" t="inlineStr">
        <is>
          <t>二期体验债。</t>
        </is>
      </c>
      <c r="L54" s="40" t="inlineStr">
        <is>
          <t>不适用</t>
        </is>
      </c>
    </row>
    <row r="55">
      <c r="A55" s="40" t="inlineStr">
        <is>
          <t>X-05</t>
        </is>
      </c>
      <c r="B55" s="40" t="inlineStr">
        <is>
          <t>待处理</t>
        </is>
      </c>
      <c r="C55" s="40" t="inlineStr">
        <is>
          <t>P1</t>
        </is>
      </c>
      <c r="D55" s="40" t="inlineStr">
        <is>
          <t>角色</t>
        </is>
      </c>
      <c r="E55" s="40" t="inlineStr">
        <is>
          <t>记忆体验债复盘</t>
        </is>
      </c>
      <c r="F55" s="40" t="inlineStr">
        <is>
          <t>在 R-05/R-06 已关上复盘体验债（过召回/冲突确认边角）。</t>
        </is>
      </c>
      <c r="H55" s="83" t="n">
        <v>46305</v>
      </c>
      <c r="K55" s="40" t="inlineStr">
        <is>
          <t>依赖 R-05/R-06 已交付。</t>
        </is>
      </c>
      <c r="L55" s="40" t="inlineStr">
        <is>
          <t>不适用</t>
        </is>
      </c>
    </row>
    <row r="56">
      <c r="A56" s="40" t="inlineStr">
        <is>
          <t>X-06</t>
        </is>
      </c>
      <c r="B56" s="40" t="inlineStr">
        <is>
          <t>已处理</t>
        </is>
      </c>
      <c r="C56" s="40" t="inlineStr">
        <is>
          <t>P2</t>
        </is>
      </c>
      <c r="D56" s="40" t="inlineStr">
        <is>
          <t>消息</t>
        </is>
      </c>
      <c r="E56" s="40" t="inlineStr">
        <is>
          <t>语音交互体验</t>
        </is>
      </c>
      <c r="F56" s="40" t="inlineStr">
        <is>
          <t>语音交互流程体验债（非波形视觉）。</t>
        </is>
      </c>
      <c r="G56" s="40" t="inlineStr">
        <is>
          <t>2026-10-11 HY：X-06 选 A。新建 useTtsPlayback：迁出 ttsPlayingId/ttsLoadingId/playTts；三态 + progressRatio（audio.currentTime/duration）；App 只渲染。UI-4 假进度在 playing 时改为 --tts-progress 真进度；loading 仍 CSS indeterminate。useHoldToTalk 未改（取消手势已在 App pointer 层，无缺口）。不做 seek；未碰 UI-5/UI-6/N-02/Gemini。App.vue 行数 2422→2395（−27）。web build 过。</t>
        </is>
      </c>
      <c r="H56" s="83" t="n">
        <v>46305</v>
      </c>
      <c r="I56" s="88" t="n">
        <v>46306</v>
      </c>
      <c r="J56" s="40" t="inlineStr">
        <is>
          <t>c617a5a</t>
        </is>
      </c>
      <c r="K56" s="40" t="inlineStr">
        <is>
          <t>真进度接 audio.currentTime；seek 拖拽仍不在范围</t>
        </is>
      </c>
      <c r="L56" s="40" t="inlineStr">
        <is>
          <t>pending push (ahead incl. UI-4 stack)</t>
        </is>
      </c>
    </row>
    <row r="57">
      <c r="A57" s="40" t="inlineStr">
        <is>
          <t>X-07</t>
        </is>
      </c>
      <c r="B57" s="40" t="inlineStr">
        <is>
          <t>暂缓</t>
        </is>
      </c>
      <c r="C57" s="40" t="inlineStr">
        <is>
          <t>P2</t>
        </is>
      </c>
      <c r="D57" s="40" t="inlineStr">
        <is>
          <t>朋友圈</t>
        </is>
      </c>
      <c r="E57" s="40" t="inlineStr">
        <is>
          <t>朋友圈互动频率可调</t>
        </is>
      </c>
      <c r="F57" s="40" t="inlineStr">
        <is>
          <t>赞评频率需产品可调项（先定可调参数再开发）。</t>
        </is>
      </c>
      <c r="H57" s="83" t="n">
        <v>46305</v>
      </c>
      <c r="K57" s="40" t="inlineStr">
        <is>
          <t>先定可调项再拆包。</t>
        </is>
      </c>
      <c r="L57" s="40" t="inlineStr">
        <is>
          <t>不适用</t>
        </is>
      </c>
    </row>
    <row r="58">
      <c r="A58" s="40" t="inlineStr">
        <is>
          <t>ARCH-1</t>
        </is>
      </c>
      <c r="B58" s="40" t="inlineStr">
        <is>
          <t>已处理</t>
        </is>
      </c>
      <c r="C58" s="40" t="inlineStr">
        <is>
          <t>P1</t>
        </is>
      </c>
      <c r="D58" s="40" t="inlineStr">
        <is>
          <t>工程</t>
        </is>
      </c>
      <c r="E58" s="40" t="inlineStr">
        <is>
          <t>工程扫描第一刀（含补扫 6 项）</t>
        </is>
      </c>
      <c r="F58" s="40" t="inlineStr">
        <is>
          <t>二期开工前工程扫描；BF stash 清理挂本项。补扫6项：1)模型入口与.env绑定(llm/vision/stt/tts/imageGen)；2)主动/空间结算隐式耦合(C-05/M-07/C-06/M-01)；3)记忆链路失败与空泡(extract→filter→pending→honor)；4)前端App.vue体量与状态交叉；5)uploads/SQLite增长与清理；6)未push/stash残留、双机.env漂移。</t>
        </is>
      </c>
      <c r="G58" s="40" t="inlineStr">
        <is>
          <t>扫描完成产出 docs/product/ARCH-1-债清单.md；D-04 挪功能池与 C-06 同组 P2；D-05 留 ARCH-2 可观测；D-11 挂 HY；stash×2 建议临时丢；smoke_*.py 入库。</t>
        </is>
      </c>
      <c r="H58" s="83" t="n">
        <v>46305</v>
      </c>
      <c r="I58" s="88" t="n">
        <v>46305</v>
      </c>
      <c r="J58" s="40" t="inlineStr">
        <is>
          <t>1b3b635 / 83e9ab6</t>
        </is>
      </c>
      <c r="K58" s="40" t="inlineStr">
        <is>
          <t>二期前四刀第1。补扫 6 条细目待主 Bot 贴齐后回写现象栏。 2026-10-10 补扫6项已写入现象栏。 2026-10-10 收口：债清单已写；详见 ARCH-1-债清单.md 功能池旁注。 2026-10-10 17:12 CST：stash×2 已记简述并 drop（见 ARCH-1 债清单收口修订）。 远程 tip eb48fbb（2026-10-10 17:12 CST push）。</t>
        </is>
      </c>
      <c r="L58" s="40" t="inlineStr">
        <is>
          <t>已 push（tip 83e9ab6）</t>
        </is>
      </c>
    </row>
    <row r="59">
      <c r="A59" s="40" t="inlineStr">
        <is>
          <t>ARCH-2</t>
        </is>
      </c>
      <c r="B59" s="40" t="inlineStr">
        <is>
          <t>已处理</t>
        </is>
      </c>
      <c r="C59" s="40" t="inlineStr">
        <is>
          <t>P2</t>
        </is>
      </c>
      <c r="D59" s="40" t="inlineStr">
        <is>
          <t>工程</t>
        </is>
      </c>
      <c r="E59" s="40" t="inlineStr">
        <is>
          <t>模型封装与成本中偏高</t>
        </is>
      </c>
      <c r="F59" s="40" t="inlineStr">
        <is>
          <t>模型调用封装、成本计量偏高；承接 N-02 动态路由与 API 试跑线。</t>
        </is>
      </c>
      <c r="G59" s="40" t="inlineStr">
        <is>
          <t>关单 2026-10-10 21:30 CST（HY）。管道 Provider+.env+D-05。试跑：DeepSeek 文本通；本地 Ollama qwen2.5vl:7b 读图通；Gemini TTS 缺 Key 未实跑→挂 B-04d/API 试跑线续债。N-02 未做。</t>
        </is>
      </c>
      <c r="H59" s="83" t="n">
        <v>46305</v>
      </c>
      <c r="I59" s="83" t="n">
        <v>46305</v>
      </c>
      <c r="J59" s="40" t="inlineStr">
        <is>
          <t>基于 f092de0 的关单 commit</t>
        </is>
      </c>
      <c r="K59" s="40" t="inlineStr">
        <is>
          <t>试跑主证据改为 HY 本地 VLM；硅基 Qwen3-VL 降为回落</t>
        </is>
      </c>
      <c r="L59" s="40" t="inlineStr">
        <is>
          <t>已 push（管道 tip 9c3bab0；关单待试跑线）</t>
        </is>
      </c>
    </row>
    <row r="60">
      <c r="A60" s="40" t="inlineStr">
        <is>
          <t>ARCH-3</t>
        </is>
      </c>
      <c r="B60" s="40" t="inlineStr">
        <is>
          <t>已处理</t>
        </is>
      </c>
      <c r="C60" s="40" t="inlineStr">
        <is>
          <t>P2</t>
        </is>
      </c>
      <c r="D60" s="40" t="inlineStr">
        <is>
          <t>工程</t>
        </is>
      </c>
      <c r="E60" s="40" t="inlineStr">
        <is>
          <t>前端状态管理整理</t>
        </is>
      </c>
      <c r="F60" s="40" t="inlineStr">
        <is>
          <t>前端状态分散，影响后续 UI 刀。</t>
        </is>
      </c>
      <c r="G60" s="40" t="inlineStr">
        <is>
          <t>2026-10-10 HY：抽出 useMoments / usePersonaEditor / useProactiveSettings；App.vue 变薄；web build 过。未上 Pinia；D-03 conversations.ts 未动。D-02 部分收口（不追全收）。</t>
        </is>
      </c>
      <c r="H60" s="83" t="n">
        <v>46305</v>
      </c>
      <c r="I60" s="83" t="n">
        <v>46305</v>
      </c>
      <c r="J60" s="40" t="inlineStr">
        <is>
          <t>23da1dc</t>
        </is>
      </c>
      <c r="K60" s="40" t="inlineStr">
        <is>
          <t>UI 并行刀前评估。 2026-10-10：由暂缓改待处理；顺序在试跑线之后、UI-1 之前。；D-02 部分收口（UI-1 后不追全收，回头再看 App.vue） 2026-10-10 收尾：状态改已处理。D-02 仍部分收口；红点/未读（unread_count+totalUnread）仍在 App.vue，未来收 D-02 时抽 composable（UI-3 顺手发现）。</t>
        </is>
      </c>
      <c r="L60" s="40" t="inlineStr">
        <is>
          <t>不适用</t>
        </is>
      </c>
    </row>
    <row r="61">
      <c r="A61" s="40" t="inlineStr">
        <is>
          <t>B-04c</t>
        </is>
      </c>
      <c r="B61" s="40" t="inlineStr">
        <is>
          <t>待处理</t>
        </is>
      </c>
      <c r="C61" s="40" t="inlineStr">
        <is>
          <t>P2</t>
        </is>
      </c>
      <c r="D61" s="40" t="inlineStr">
        <is>
          <t>消息</t>
        </is>
      </c>
      <c r="E61" s="40" t="inlineStr">
        <is>
          <t>生图触发词过严</t>
        </is>
      </c>
      <c r="F61" s="40" t="inlineStr">
        <is>
          <t>冒烟：「帮我画一只猫」可出图；裸「画一只猫」不触发 wantsImageGeneration。</t>
        </is>
      </c>
      <c r="H61" s="83" t="n">
        <v>46305</v>
      </c>
      <c r="K61" s="40" t="inlineStr">
        <is>
          <t>2026-10-10 一期冒烟记入二期池。</t>
        </is>
      </c>
      <c r="L61" s="40" t="inlineStr">
        <is>
          <t>不适用</t>
        </is>
      </c>
    </row>
    <row r="62">
      <c r="A62" s="40" t="inlineStr">
        <is>
          <t>B-04d</t>
        </is>
      </c>
      <c r="B62" s="40" t="inlineStr">
        <is>
          <t>暂缓</t>
        </is>
      </c>
      <c r="C62" s="40" t="inlineStr">
        <is>
          <t>P3</t>
        </is>
      </c>
      <c r="D62" s="40" t="inlineStr">
        <is>
          <t>消息</t>
        </is>
      </c>
      <c r="E62" s="40" t="inlineStr">
        <is>
          <t>B-04B Key 失败路径未实打</t>
        </is>
      </c>
      <c r="F62" s="40" t="inlineStr">
        <is>
          <t>生图 Key 失败人话路径代码在、一期未实打。</t>
        </is>
      </c>
      <c r="G62" s="40" t="inlineStr">
        <is>
          <t>【2026-10-10 21:30 CST ARCH-2 试跑线续债】Gemini TTS：HY 无 GEMINI_API_KEY，缺 Key 未实跑；坏 Key 上游观测仍 HTTP 401。产品失败回流人话路径仍待验。</t>
        </is>
      </c>
      <c r="H62" s="83" t="n">
        <v>46305</v>
      </c>
      <c r="K62" s="40" t="inlineStr">
        <is>
          <t>挂 API/密钥试跑时顺带验。 2026-10-10：读图 VLM 债/B-04d 在 ARCH-2 试跑线里还（非独立刀）。 2026-10-10 试跑线观测：坏 IMAGE_GEN Key → 上游 HTTP 401 Token is invalid；产品侧失败回流人话路径未改代码实打，仍暂缓。</t>
        </is>
      </c>
      <c r="L62" s="40" t="inlineStr">
        <is>
          <t>不适用</t>
        </is>
      </c>
    </row>
    <row r="63">
      <c r="A63" s="40" t="inlineStr">
        <is>
          <t>O-03</t>
        </is>
      </c>
      <c r="B63" s="40" t="inlineStr">
        <is>
          <t>已处理</t>
        </is>
      </c>
      <c r="C63" s="40" t="inlineStr">
        <is>
          <t>P2</t>
        </is>
      </c>
      <c r="D63" s="40" t="inlineStr">
        <is>
          <t>工程</t>
        </is>
      </c>
      <c r="E63" s="40" t="inlineStr">
        <is>
          <t>BF stash 清理</t>
        </is>
      </c>
      <c r="F63" s="40" t="inlineStr">
        <is>
          <t>BF 残留 stash（issue tracker / local before M-01），避免和下包混。</t>
        </is>
      </c>
      <c r="G63" s="40" t="inlineStr">
        <is>
          <t>stash×2 已 drop（2026-10-10 17:12 CST）；内容简述已写入 ARCH-1 债清单收口修订；无遗留业务 diff。</t>
        </is>
      </c>
      <c r="H63" s="83" t="n">
        <v>46305</v>
      </c>
      <c r="I63" s="83" t="n">
        <v>46305</v>
      </c>
      <c r="K63" s="40" t="inlineStr">
        <is>
          <t>挂 ARCH-1 扫描一并处理。 2026-10-10：随 ARCH-1 收口 stash×2 已 drop。 2026-10-10 20:30 CST 已处理确认（stash drop 收口）。</t>
        </is>
      </c>
      <c r="L63" s="40" t="inlineStr">
        <is>
          <t>已 push</t>
        </is>
      </c>
    </row>
    <row r="64">
      <c r="A64" s="40" t="inlineStr">
        <is>
          <t>UI-1</t>
        </is>
      </c>
      <c r="B64" s="40" t="inlineStr">
        <is>
          <t>已处理</t>
        </is>
      </c>
      <c r="C64" s="40" t="inlineStr">
        <is>
          <t>P2</t>
        </is>
      </c>
      <c r="D64" s="40" t="inlineStr">
        <is>
          <t>界面</t>
        </is>
      </c>
      <c r="E64" s="40" t="inlineStr">
        <is>
          <t>动效基础层</t>
        </is>
      </c>
      <c r="F64" s="40" t="inlineStr">
        <is>
          <t>统一时长、曲线、触发场景（Telegram/Discord 娱乐向）。</t>
        </is>
      </c>
      <c r="G64" s="40" t="inlineStr">
        <is>
          <t>2026-10-10 HY：动效基础层。`apps/web/src/constants/motion.ts` + `wechat.css` `--motion-*`；nav/列表 micro transition 改走 token；人设编辑 / 发动态 composer 挂 Transition `wx-motion-fade`。未做 UI-2/UI-3。 2026-10-10 关单前核对：App.vue 工作区与 HEAD 内容 hash 一致（a02fa9e），所谓 2234→2243 为 Measure-Object -Line / CRLF 计行口径差，非脏改；提交面干净后关单。</t>
        </is>
      </c>
      <c r="H64" s="83" t="n">
        <v>46305</v>
      </c>
      <c r="I64" s="88" t="n">
        <v>46305</v>
      </c>
      <c r="J64" s="40" t="inlineStr">
        <is>
          <t>3737c1d</t>
        </is>
      </c>
      <c r="K64" s="40" t="inlineStr">
        <is>
          <t>仅基础层；UI-2/3 另开。Gemini TTS 挂债；N-02 不动。D-02 部分收口。 关单确认记入 95a7bf5（计行口径非脏改）。</t>
        </is>
      </c>
      <c r="L64" s="40" t="inlineStr">
        <is>
          <t>已 push</t>
        </is>
      </c>
    </row>
    <row r="65">
      <c r="A65" s="40" t="inlineStr">
        <is>
          <t>UI-2</t>
        </is>
      </c>
      <c r="B65" s="40" t="inlineStr">
        <is>
          <t>已处理</t>
        </is>
      </c>
      <c r="C65" s="40" t="inlineStr">
        <is>
          <t>P2</t>
        </is>
      </c>
      <c r="D65" s="40" t="inlineStr">
        <is>
          <t>界面</t>
        </is>
      </c>
      <c r="E65" s="40" t="inlineStr">
        <is>
          <t>消息动效</t>
        </is>
      </c>
      <c r="F65" s="40" t="inlineStr">
        <is>
          <t>发送/接收过渡、正在输入动效。落点：CSS/TransitionGroup + UI-1 token；不往 App.vue 加播放态；不 Pinia；不为未来预建 useMessageMotion；不动 profileMoments。</t>
        </is>
      </c>
      <c r="G65" s="40" t="inlineStr">
        <is>
          <t>2026-10-10 HY：消息列表 TransitionGroup `wx-motion-msg`（按会话 key 重挂避免切房刷入场）；发送中复用已有 `sending` 挂纯 CSS「正在输入」三点（Transition `wx-motion-fade`）。未建 useMessageMotion；未动 profileMoments。</t>
        </is>
      </c>
      <c r="H65" s="83" t="n">
        <v>46305</v>
      </c>
      <c r="I65" s="83" t="n">
        <v>46305</v>
      </c>
      <c r="J65" s="40" t="inlineStr">
        <is>
          <t>95a7bf5</t>
        </is>
      </c>
      <c r="K65" s="40" t="inlineStr">
        <is>
          <t>依赖 UI-1 基础层。 依赖 UI-1 基础层。状态落点拍板：CSS/Transition + token；跨组件共享入场态才建 useMessageMotion（本刀未需要）。 关单补注：所谓 App.vue 2234→2243 那 9 行是计行口径差（Measure-Object -Line / CRLF），工作区与 HEAD 内容一致，非脏改。</t>
        </is>
      </c>
      <c r="L65" s="40" t="inlineStr">
        <is>
          <t>已 push</t>
        </is>
      </c>
    </row>
    <row r="66">
      <c r="A66" s="40" t="inlineStr">
        <is>
          <t>UI-3</t>
        </is>
      </c>
      <c r="B66" s="40" t="inlineStr">
        <is>
          <t>已处理</t>
        </is>
      </c>
      <c r="C66" s="40" t="inlineStr">
        <is>
          <t>P2</t>
        </is>
      </c>
      <c r="D66" s="40" t="inlineStr">
        <is>
          <t>界面</t>
        </is>
      </c>
      <c r="E66" s="40" t="inlineStr">
        <is>
          <t>红点/未读动效</t>
        </is>
      </c>
      <c r="F66" s="40" t="inlineStr">
        <is>
          <t>未读红点动效增强（C-03 功能已有）。</t>
        </is>
      </c>
      <c r="G66" s="40" t="inlineStr">
        <is>
          <t>2026-10-10 HY：红点/未读角标纯 CSS 动效。wx-nav-dot / wx-unread-badge 挂 Transition wx-motion-badge（enter/leave scale+opacity），走 UI-1 --motion-duration-fast + enter/exit easing。C-03 状态仍在 App.vue（conversations.unread_count / totalUnread / 开聊清零）；未搬状态、未建 useUnread、未往 App 加播放态。UI-4 未做。</t>
        </is>
      </c>
      <c r="H66" s="83" t="n">
        <v>46305</v>
      </c>
      <c r="I66" s="83" t="n">
        <v>46305</v>
      </c>
      <c r="J66" s="40" t="inlineStr">
        <is>
          <t>aa8e6ad / tip 4d985b3</t>
        </is>
      </c>
      <c r="K66" s="40" t="inlineStr">
        <is>
          <t>依赖 UI-1。落点拍板：只做出现/消失纯 CSS；状态不动。N-02、Gemini TTS 维持不动；D-02 仍部分收口。不做 UI-4。 2026-10-10 收尾关单确认：已推 tip 4d985b3。</t>
        </is>
      </c>
      <c r="L66" s="40" t="inlineStr">
        <is>
          <t>已 push</t>
        </is>
      </c>
    </row>
    <row r="67">
      <c r="A67" s="40" t="inlineStr">
        <is>
          <t>UI-4</t>
        </is>
      </c>
      <c r="B67" s="40" t="inlineStr">
        <is>
          <t>已处理</t>
        </is>
      </c>
      <c r="C67" s="40" t="inlineStr">
        <is>
          <t>P2</t>
        </is>
      </c>
      <c r="D67" s="40" t="inlineStr">
        <is>
          <t>界面</t>
        </is>
      </c>
      <c r="E67" s="40" t="inlineStr">
        <is>
          <t>语音气泡视觉：波形+播放/暂停+进度</t>
        </is>
      </c>
      <c r="F67" s="40" t="inlineStr">
        <is>
          <t>语音泡波形与进度视觉。</t>
        </is>
      </c>
      <c r="G67" s="40" t="inlineStr">
        <is>
          <t>2026-10-11 HY：UI-4 选 A。复用 ttsPlayingId/ttsLoadingId；语音泡播放/暂停/加载图标改纯 CSS；波形走 UI-1 --motion-*；进度条装饰性假进度（playing 假填充 / loading 不确定条），不接 audio.currentTime；未新增状态、未建 useTtsPlayback、未动 X-06。web build 过。；2026-10-11：X-06 已接真进度，playing 假进度动画已撤。</t>
        </is>
      </c>
      <c r="H67" s="83" t="n">
        <v>46305</v>
      </c>
      <c r="I67" s="40" t="inlineStr">
        <is>
          <t>2026-10-11</t>
        </is>
      </c>
      <c r="J67" s="40" t="inlineStr">
        <is>
          <t>08d4050</t>
        </is>
      </c>
      <c r="K67" s="40" t="inlineStr">
        <is>
          <t>与 X-06 分工：UI-4=视觉；X-06=交互。可同迭代分两行。 2026-10-10 收尾：明天第一刀 UI-4。开前先定：① UI-4 视觉 / X-06 交互边界；② 语音播放态、加载态、进度落点（App / composable / 纯 CSS）。今天不写代码。 2026-10-11 拍板选 A：纯 CSS 假进度；真进度/seek 留给 X-06；N-02、Gemini TTS 维持不动。 2026-10-11：功能关单本地 08d4050 / tip 81b3fff；push 因 HY→GitHub 443 失败，网络恢复后补推。</t>
        </is>
      </c>
      <c r="L67" s="40" t="inlineStr">
        <is>
          <t>待 push（HY 本地 tip 81b3fff，GitHub 443 不通）</t>
        </is>
      </c>
    </row>
    <row r="68">
      <c r="A68" s="40" t="inlineStr">
        <is>
          <t>UI-5</t>
        </is>
      </c>
      <c r="B68" s="40" t="inlineStr">
        <is>
          <t>暂缓</t>
        </is>
      </c>
      <c r="C68" s="40" t="inlineStr">
        <is>
          <t>P3</t>
        </is>
      </c>
      <c r="D68" s="40" t="inlineStr">
        <is>
          <t>界面</t>
        </is>
      </c>
      <c r="E68" s="40" t="inlineStr">
        <is>
          <t>Reaction 多表情+微动效</t>
        </is>
      </c>
      <c r="F68" s="40" t="inlineStr">
        <is>
          <t>消息 reaction 多表情与微动效。</t>
        </is>
      </c>
      <c r="H68" s="83" t="n">
        <v>46305</v>
      </c>
      <c r="K68" s="40" t="inlineStr">
        <is>
          <t>娱乐向，P3。</t>
        </is>
      </c>
      <c r="L68" s="40" t="inlineStr">
        <is>
          <t>不适用</t>
        </is>
      </c>
    </row>
    <row r="69">
      <c r="A69" s="40" t="inlineStr">
        <is>
          <t>UI-6</t>
        </is>
      </c>
      <c r="B69" s="40" t="inlineStr">
        <is>
          <t>暂缓</t>
        </is>
      </c>
      <c r="C69" s="40" t="inlineStr">
        <is>
          <t>P3</t>
        </is>
      </c>
      <c r="D69" s="40" t="inlineStr">
        <is>
          <t>界面</t>
        </is>
      </c>
      <c r="E69" s="40" t="inlineStr">
        <is>
          <t>群聊活跃感</t>
        </is>
      </c>
      <c r="F69" s="40" t="inlineStr">
        <is>
          <t>角色头像浮动、正在输入等群聊活跃感。</t>
        </is>
      </c>
      <c r="H69" s="83" t="n">
        <v>46305</v>
      </c>
      <c r="K69" s="40" t="inlineStr">
        <is>
          <t>娱乐向，P3。</t>
        </is>
      </c>
      <c r="L69" s="40" t="inlineStr">
        <is>
          <t>不适用</t>
        </is>
      </c>
    </row>
    <row r="70">
      <c r="A70" s="47" t="inlineStr">
        <is>
          <t>U-xx</t>
        </is>
      </c>
      <c r="B70" s="47" t="n"/>
      <c r="C70" s="47" t="n"/>
      <c r="D70" s="47" t="n"/>
      <c r="E70" s="46" t="inlineStr">
        <is>
          <t>（在此行往下追加新问题。ID 建议：U 界面 / G 群聊 / C 会话 / M 朋友圈 / R 角色 / B 体验 / O 工程）</t>
        </is>
      </c>
      <c r="F70" s="47" t="n"/>
      <c r="G70" s="47" t="n"/>
      <c r="H70" s="47" t="n"/>
      <c r="I70" s="47" t="n"/>
      <c r="J70" s="47" t="n"/>
      <c r="K70" s="47" t="n"/>
      <c r="L70" s="40" t="inlineStr">
        <is>
          <t>不适用</t>
        </is>
      </c>
    </row>
    <row r="71">
      <c r="A71" s="47" t="n"/>
      <c r="B71" s="47" t="n"/>
      <c r="C71" s="47" t="n"/>
      <c r="D71" s="47" t="n"/>
      <c r="E71" s="47" t="n"/>
      <c r="F71" s="47" t="n"/>
      <c r="G71" s="47" t="n"/>
      <c r="H71" s="47" t="n"/>
      <c r="I71" s="47" t="n"/>
      <c r="J71" s="47" t="n"/>
      <c r="K71" s="47" t="n"/>
    </row>
    <row r="72">
      <c r="A72" s="47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</row>
    <row r="73">
      <c r="A73" s="47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7" t="n"/>
      <c r="K73" s="47" t="n"/>
    </row>
    <row r="74">
      <c r="A74" s="47" t="n"/>
      <c r="B74" s="47" t="n"/>
      <c r="C74" s="47" t="n"/>
      <c r="D74" s="47" t="n"/>
      <c r="E74" s="47" t="n"/>
      <c r="F74" s="47" t="n"/>
      <c r="G74" s="47" t="n"/>
      <c r="H74" s="47" t="n"/>
      <c r="I74" s="47" t="n"/>
      <c r="J74" s="47" t="n"/>
      <c r="K74" s="47" t="n"/>
    </row>
    <row r="75">
      <c r="A75" s="47" t="n"/>
      <c r="B75" s="47" t="n"/>
      <c r="C75" s="47" t="n"/>
      <c r="D75" s="47" t="n"/>
      <c r="E75" s="47" t="n"/>
      <c r="F75" s="47" t="n"/>
      <c r="G75" s="47" t="n"/>
      <c r="H75" s="47" t="n"/>
      <c r="I75" s="47" t="n"/>
      <c r="J75" s="47" t="n"/>
      <c r="K75" s="47" t="n"/>
    </row>
    <row r="76">
      <c r="A76" s="47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</row>
    <row r="77">
      <c r="A77" s="47" t="n"/>
      <c r="B77" s="47" t="n"/>
      <c r="C77" s="47" t="n"/>
      <c r="D77" s="47" t="n"/>
      <c r="E77" s="47" t="n"/>
      <c r="F77" s="47" t="n"/>
      <c r="G77" s="47" t="n"/>
      <c r="H77" s="47" t="n"/>
      <c r="I77" s="47" t="n"/>
      <c r="J77" s="47" t="n"/>
      <c r="K77" s="47" t="n"/>
    </row>
  </sheetData>
  <autoFilter ref="A1:K40"/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s="40" t="inlineStr">
        <is>
          <t>远程状态（L 列）</t>
        </is>
      </c>
      <c r="B8" s="40" t="inlineStr">
        <is>
          <t>已 push＝已合入远程；未 push＝仅本机；不适用＝暂缓未开工/规划占位/非功能行。</t>
        </is>
      </c>
    </row>
    <row r="9" ht="36" customHeight="1" s="41">
      <c r="A9" s="69" t="inlineStr">
        <is>
          <t>2026-10-10：一期七类冒烟通过（BF tip 65cf58e），一期可收口。二期前四刀 ARCH-1→M-05a→X-01→ARCH-2；UI-1 第五/可并行。UI-1～6、ARCH-1 补扫6项已落表。；2026-10-10 M-05a 已处理（由 M-06 覆盖，仅文档收口）；2026-10-10 17:12 CST BF 远程 tip eb48fbb（含 1b3b635 ARCH-1、c220bbf M-05a 关单、eb48fbb stash备注+上墙补验）；对齐 tip 83e9ab6（2026-10-10 17:13 CST）；2026-10-10 17:22 CST X-01 三条验证关单（PATCH↔GET / 私聊用人设 / UI 入口 API+接线）；对齐 tip cac031c（2026-10-10 17:23 CST）。；2026-10-10 ARCH-2 已处理（Provider+.env+D-05；tip 见问题行）。；2026-10-10 20:30 CST ARCH-2 验收补记+清表：D-05=纯[memory.obs]日志无用户侧失败信号；五入口均进 providers；X-01 最终 tip 0fce6d8；ARCH-2→待处理（管道已交关单待试跑线）；ARCH-3→待处理；O-03 已处理；下一顺序 试跑线→ARCH-3→UI-1；N-02 不动。</t>
        </is>
      </c>
      <c r="B9" s="70" t="inlineStr">
        <is>
          <t>；2026-10-10 UI-1 关单确认（计行口径非脏改）；UI-2 消息 TransitionGroup+正在输入落地（HY）。；远程 tip 95a7bf5（UI-2 关单+UI-1 计行口径确认）。</t>
        </is>
      </c>
    </row>
    <row r="10" ht="36" customHeight="1" s="41">
      <c r="A10" s="69" t="inlineStr">
        <is>
          <t>不要写进表的</t>
        </is>
      </c>
      <c r="B10" s="71" t="inlineStr">
        <is>
          <t>GitHub token、DeepSeek Key、.env 内容。Commit 只写短哈希。</t>
        </is>
      </c>
    </row>
    <row r="11">
      <c r="A11" s="69" t="inlineStr">
        <is>
          <t>和代码的关系</t>
        </is>
      </c>
      <c r="B11" s="70" t="inlineStr">
        <is>
          <t>已处理行尽量补「本地 commit」与 L 列「远程状态」（已 push / 未 push / 不适用）。每次 push 后同步：本地 commit、远程状态、使用说明顶部 tip。暂缓项写清触发条件；满足后改待处理。文档 commit 也记一笔。</t>
        </is>
      </c>
    </row>
    <row r="12" ht="15" customHeight="1" s="41"/>
    <row r="13">
      <c r="A13" s="72" t="inlineStr">
        <is>
          <t>状态色例</t>
        </is>
      </c>
      <c r="B13" s="73" t="inlineStr">
        <is>
          <t>待处理</t>
        </is>
      </c>
      <c r="C13" s="74" t="inlineStr">
        <is>
          <t>处理中</t>
        </is>
      </c>
      <c r="D13" s="74" t="inlineStr">
        <is>
          <t>待确认</t>
        </is>
      </c>
      <c r="E13" s="75" t="inlineStr">
        <is>
          <t>已处理</t>
        </is>
      </c>
      <c r="F13" s="76" t="inlineStr">
        <is>
          <t>暂缓</t>
        </is>
      </c>
    </row>
    <row r="14">
      <c r="A14" s="83" t="n">
        <v>46305.86458333334</v>
      </c>
      <c r="B14" s="40" t="inlineStr">
        <is>
          <t>ARCH-2 试跑线 2/3</t>
        </is>
      </c>
      <c r="C14" s="40" t="inlineStr">
        <is>
          <t>DeepSeek 通；硅基 VLM 通；Gemini TTS 缺 GEMINI_API_KEY；真关单否；B-04d 仍暂缓；下一补钥或 ARCH-3 等拍板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C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1" ht="15" customHeight="1" s="41">
      <c r="A11" s="72" t="inlineStr">
        <is>
          <t>合计（不含表头）</t>
        </is>
      </c>
      <c r="B11" s="72">
        <f>SUM(B5:B9)</f>
        <v/>
      </c>
    </row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5">
      <c r="A15" s="40" t="inlineStr">
        <is>
          <t>未 push 条数</t>
        </is>
      </c>
      <c r="B15" s="40">
        <f>COUNTIF(问题记录!L:L,"未 push")</f>
        <v/>
      </c>
    </row>
    <row r="16">
      <c r="A16" s="40" t="inlineStr">
        <is>
          <t>已 push 条数</t>
        </is>
      </c>
      <c r="B16" s="40">
        <f>COUNTIF(问题记录!L:L,"已 push")</f>
        <v/>
      </c>
    </row>
    <row r="17" ht="15" customHeight="1" s="41">
      <c r="A17" s="81" t="inlineStr">
        <is>
          <t>待办自动列表（状态＝待处理/处理中）</t>
        </is>
      </c>
    </row>
    <row r="18" ht="15" customHeight="1" s="41">
      <c r="A18" s="80" t="inlineStr">
        <is>
          <t>待处理/处理中条数</t>
        </is>
      </c>
      <c r="B18" s="40">
        <f>COUNTIF(问题记录!B:B,"待处理")+COUNTIF(问题记录!B:B,"处理中")</f>
        <v/>
      </c>
    </row>
    <row r="19" ht="15" customHeight="1" s="41">
      <c r="A19" s="80" t="inlineStr">
        <is>
          <t>ID 列表（自动）</t>
        </is>
      </c>
      <c r="B19" s="40">
        <f>TEXTJOIN("；",TRUE,IF(((问题记录!B$2:B$200="待处理")+(问题记录!B$2:B$200="处理中"))&gt;0,问题记录!A$2:A$200&amp;" "&amp;问题记录!E$2:E$200,""))</f>
        <v/>
      </c>
    </row>
    <row r="20" ht="15" customHeight="1" s="41">
      <c r="A20" s="80" t="inlineStr">
        <is>
          <t>下一候选（人工）</t>
        </is>
      </c>
      <c r="B20" s="40" t="inlineStr">
        <is>
          <t>C-06 空间反应与私聊主动日 cap 解耦（待用户点头）。可选：daily_cap UI / R-03 好感度。勿与 N-01..03 规划占位混淆。</t>
        </is>
      </c>
    </row>
    <row r="21" ht="15" customHeight="1" s="41">
      <c r="A21" s="80" t="inlineStr">
        <is>
          <t>远程 tip（人工）</t>
        </is>
      </c>
      <c r="B21" s="40" t="inlineStr">
        <is>
          <t>远程 tip 95a7bf5（UI-2 消息动效 + UI-1 关单确认）。人工维护，最后更新 2026-10-10 22:24 CST。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2026-09-13T15:10:11Z</dcterms:created>
  <dcterms:modified xsi:type="dcterms:W3CDTF">2026-10-11T03:16:46Z</dcterms:modified>
  <cp:revision>9</cp:revision>
</cp:coreProperties>
</file>